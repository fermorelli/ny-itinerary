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d2e8cf4ca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095a334d331a4d0d"/>
    <x:sheet xmlns:r="http://schemas.openxmlformats.org/officeDocument/2006/relationships" name="01_Itinerario" sheetId="2" r:id="R760c098953da46e4"/>
    <x:sheet xmlns:r="http://schemas.openxmlformats.org/officeDocument/2006/relationships" name="02_Map_Points" sheetId="3" r:id="Rc31dada4dfbe4e74"/>
    <x:sheet xmlns:r="http://schemas.openxmlformats.org/officeDocument/2006/relationships" name="03_Map_Segments" sheetId="4" r:id="R5556d7446afd4b2c"/>
    <x:sheet xmlns:r="http://schemas.openxmlformats.org/officeDocument/2006/relationships" name="04_Logistica" sheetId="5" r:id="Rc958d8a1422f4e1e"/>
    <x:sheet xmlns:r="http://schemas.openxmlformats.org/officeDocument/2006/relationships" name="05_Presupuesto" sheetId="6" r:id="R2b1baed265b146a0"/>
    <x:sheet xmlns:r="http://schemas.openxmlformats.org/officeDocument/2006/relationships" name="06_Reservas_Opciones" sheetId="7" r:id="R7e395589b012458f"/>
    <x:sheet xmlns:r="http://schemas.openxmlformats.org/officeDocument/2006/relationships" name="07_Fuentes" sheetId="8" r:id="R689dcdec811a4af0"/>
    <x:sheet xmlns:r="http://schemas.openxmlformats.org/officeDocument/2006/relationships" name="99_Parametros" sheetId="9" r:id="R70d168a06fae42f8"/>
    <x:sheet xmlns:r="http://schemas.openxmlformats.org/officeDocument/2006/relationships" name="08_Detalle_Guia" sheetId="10" r:id="R6341cf194cd24fd9"/>
    <x:sheet xmlns:r="http://schemas.openxmlformats.org/officeDocument/2006/relationships" name="09_Auditoria_Mapa" sheetId="11" r:id="Rbdfd37973a9846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d dd-mmm"/>
    <x:numFmt numFmtId="201" formatCode="hh:mm"/>
    <x:numFmt numFmtId="202" formatCode="$0.00"/>
    <x:numFmt numFmtId="203" formatCode="0.0"/>
    <x:numFmt numFmtId="204" formatCode="0"/>
    <x:numFmt numFmtId="205" formatCode="0.00000"/>
  </x:numFmts>
  <x:fonts count="9">
    <x:font>
      <x:sz val="11"/>
      <x:name val="Carlito"/>
    </x:font>
    <x:font>
      <x:b/>
      <x:sz val="16"/>
      <x:color rgb="FFFFFFFF"/>
      <x:name val="Carlito"/>
    </x:font>
    <x:font>
      <x:sz val="11"/>
      <x:color rgb="FF243744"/>
      <x:name val="Carlito"/>
    </x:font>
    <x:font>
      <x:b/>
      <x:sz val="10"/>
      <x:color rgb="FFFFFFFF"/>
      <x:name val="Carlito"/>
    </x:font>
    <x:font>
      <x:b/>
      <x:sz val="11"/>
      <x:color rgb="FF0C2A3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777777"/>
      <x:name val="Carlito"/>
    </x:font>
    <x:font>
      <x:sz val="11"/>
      <x:color rgb="FF77777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C2A3A"/>
      </x:patternFill>
    </x:fill>
    <x:fill>
      <x:patternFill patternType="solid">
        <x:fgColor rgb="FFF7F3EA"/>
      </x:patternFill>
    </x:fill>
    <x:fill>
      <x:patternFill patternType="solid">
        <x:fgColor rgb="FFD9F1F2"/>
      </x:patternFill>
    </x:fill>
    <x:fill>
      <x:patternFill patternType="solid">
        <x:fgColor rgb="FF0C2A3A"/>
      </x:patternFill>
    </x:fill>
    <x:fill>
      <x:patternFill patternType="solid">
        <x:fgColor rgb="FFE7F4F1"/>
      </x:patternFill>
    </x:fill>
    <x:fill>
      <x:patternFill patternType="solid">
        <x:fgColor rgb="FFD6A93A"/>
      </x:patternFill>
    </x:fill>
    <x:fill>
      <x:patternFill patternType="solid">
        <x:fgColor rgb="FFF4F1E8"/>
      </x:patternFill>
    </x:fill>
  </x:fills>
  <x:borders count="2">
    <x:border/>
    <x:border/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4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1">
    <x:dxf>
      <x:font>
        <x:b/>
        <x:color rgb="FF0C5C49"/>
      </x:font>
      <x:fill>
        <x:patternFill>
          <x:bgColor rgb="FFE9F8F2"/>
        </x:patternFill>
      </x:fill>
    </x:dxf>
    <x:dxf>
      <x:font>
        <x:color rgb="FF7A5A00"/>
      </x:font>
      <x:fill>
        <x:patternFill>
          <x:bgColor rgb="FFFFF3CD"/>
        </x:patternFill>
      </x:fill>
    </x:dxf>
    <x:dxf>
      <x:font>
        <x:b/>
        <x:color rgb="FF0C5C49"/>
      </x:font>
      <x:fill>
        <x:patternFill>
          <x:bgColor rgb="FFE9F8F2"/>
        </x:patternFill>
      </x:fill>
    </x:dxf>
    <x:dxf>
      <x:font>
        <x:b/>
        <x:color rgb="FF0C5C49"/>
      </x:font>
      <x:fill>
        <x:patternFill>
          <x:bgColor rgb="FFE9F8F2"/>
        </x:patternFill>
      </x:fill>
    </x:dxf>
    <x:dxf>
      <x:fill>
        <x:patternFill>
          <x:bgColor rgb="FFFFF3CD"/>
        </x:patternFill>
      </x:fill>
    </x:dxf>
    <x:dxf>
      <x:fill>
        <x:patternFill patternType="solid">
          <x:bgColor rgb="FFDFF3EA"/>
        </x:patternFill>
      </x:fill>
    </x:dxf>
    <x:dxf>
      <x:fill>
        <x:patternFill patternType="solid">
          <x:bgColor rgb="FFFFF3D6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DFF3EA"/>
        </x:patternFill>
      </x:fill>
    </x:dxf>
    <x:dxf>
      <x:fill>
        <x:patternFill patternType="solid">
          <x:bgColor rgb="FFFFF3D6"/>
        </x:patternFill>
      </x:fill>
    </x:dxf>
    <x:dxf>
      <x:fill>
        <x:patternFill patternType="solid">
          <x:bgColor rgb="FFDF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482d87eb94980" /><Relationship Type="http://schemas.openxmlformats.org/officeDocument/2006/relationships/theme" Target="/xl/theme/theme1.xml" Id="R74d8ba88e78f40b6" /><Relationship Type="http://schemas.openxmlformats.org/officeDocument/2006/relationships/sharedStrings" Target="/xl/sharedStrings.xml" Id="Rbbad03b672a64cd4" /><Relationship Type="http://schemas.openxmlformats.org/officeDocument/2006/relationships/worksheet" Target="/xl/worksheets/sheet1.xml" Id="R095a334d331a4d0d" /><Relationship Type="http://schemas.openxmlformats.org/officeDocument/2006/relationships/worksheet" Target="/xl/worksheets/sheet2.xml" Id="R760c098953da46e4" /><Relationship Type="http://schemas.openxmlformats.org/officeDocument/2006/relationships/worksheet" Target="/xl/worksheets/sheet3.xml" Id="Rc31dada4dfbe4e74" /><Relationship Type="http://schemas.openxmlformats.org/officeDocument/2006/relationships/worksheet" Target="/xl/worksheets/sheet4.xml" Id="R5556d7446afd4b2c" /><Relationship Type="http://schemas.openxmlformats.org/officeDocument/2006/relationships/worksheet" Target="/xl/worksheets/sheet5.xml" Id="Rc958d8a1422f4e1e" /><Relationship Type="http://schemas.openxmlformats.org/officeDocument/2006/relationships/worksheet" Target="/xl/worksheets/sheet6.xml" Id="R2b1baed265b146a0" /><Relationship Type="http://schemas.openxmlformats.org/officeDocument/2006/relationships/worksheet" Target="/xl/worksheets/sheet7.xml" Id="R7e395589b012458f" /><Relationship Type="http://schemas.openxmlformats.org/officeDocument/2006/relationships/worksheet" Target="/xl/worksheets/sheet8.xml" Id="R689dcdec811a4af0" /><Relationship Type="http://schemas.openxmlformats.org/officeDocument/2006/relationships/worksheet" Target="/xl/worksheets/sheet9.xml" Id="R70d168a06fae42f8" /><Relationship Type="http://schemas.openxmlformats.org/officeDocument/2006/relationships/worksheet" Target="/xl/worksheets/sheet10.xml" Id="R6341cf194cd24fd9" /><Relationship Type="http://schemas.openxmlformats.org/officeDocument/2006/relationships/worksheet" Target="/xl/worksheets/sheet11.xml" Id="Rbdfd37973a9846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f287291e1943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Caminata base por día (km)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Km base</c:v>
          </c:tx>
          <c:cat>
            <c:strRef>
              <c:f>'00_Resumen'!$N$23:$N$28</c:f>
              <c:strCache>
                <c:ptCount val="0"/>
              </c:strCache>
            </c:strRef>
          </c:cat>
          <c:val>
            <c:numRef>
              <c:f>'00_Resumen'!$O$23:$O$28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4</xdr:row>
      <xdr:rowOff>0</xdr:rowOff>
    </xdr:from>
    <xdr:to>
      <xdr:col>21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f287291e1943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tineraryTable" displayName="ItineraryTable" ref="A1:V70" headerRowCount="1" totalsRowCount="0" totalsRowShown="0">
  <x:tableColumns count="22">
    <x:tableColumn id="1" name="Día"/>
    <x:tableColumn id="2" name="Fecha"/>
    <x:tableColumn id="3" name="Orden"/>
    <x:tableColumn id="4" name="Inicio"/>
    <x:tableColumn id="5" name="Fin"/>
    <x:tableColumn id="6" name="Tipo"/>
    <x:tableColumn id="7" name="Actividad / Lugar"/>
    <x:tableColumn id="8" name="Detalle"/>
    <x:tableColumn id="9" name="Modo"/>
    <x:tableColumn id="10" name="Permanencia min"/>
    <x:tableColumn id="11" name="Descanso min"/>
    <x:tableColumn id="12" name="Buffer min"/>
    <x:tableColumn id="13" name="Duración planificada min"/>
    <x:tableColumn id="14" name="Prioridad"/>
    <x:tableColumn id="15" name="Opcional"/>
    <x:tableColumn id="16" name="Orden recorte"/>
    <x:tableColumn id="17" name="Nuevo"/>
    <x:tableColumn id="18" name="Map_ID"/>
    <x:tableColumn id="19" name="Map Query"/>
    <x:tableColumn id="20" name="Abrir en Google Maps"/>
    <x:tableColumn id="21" name="Nota de recorrido"/>
    <x:tableColumn id="22" name="Revis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pPointsTable" displayName="MapPointsTable" ref="A1:N67" headerRowCount="1" totalsRowCount="0" totalsRowShown="0">
  <x:tableColumns count="14">
    <x:tableColumn id="1" name="Map_ID"/>
    <x:tableColumn id="2" name="Lugar"/>
    <x:tableColumn id="3" name="Query geocoder"/>
    <x:tableColumn id="4" name="Dirección / referencia"/>
    <x:tableColumn id="5" name="Categoría"/>
    <x:tableColumn id="6" name="Días"/>
    <x:tableColumn id="7" name="Nuevo"/>
    <x:tableColumn id="8" name="Prioridad pin"/>
    <x:tableColumn id="9" name="Latitud"/>
    <x:tableColumn id="10" name="Longitud"/>
    <x:tableColumn id="11" name="Estado geocode"/>
    <x:tableColumn id="12" name="Abrir en Google Maps"/>
    <x:tableColumn id="13" name="Notas"/>
    <x:tableColumn id="14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pSegmentsTable" displayName="MapSegmentsTable" ref="A1:O83" headerRowCount="1" totalsRowCount="0" totalsRowShown="0">
  <x:tableColumns count="15">
    <x:tableColumn id="1" name="Día"/>
    <x:tableColumn id="2" name="Orden"/>
    <x:tableColumn id="3" name="From_ID"/>
    <x:tableColumn id="4" name="To_ID"/>
    <x:tableColumn id="5" name="Modo"/>
    <x:tableColumn id="6" name="Distancia a pie m (provisional)"/>
    <x:tableColumn id="7" name="Tiempo a pie min"/>
    <x:tableColumn id="8" name="Tiempo transporte plan min"/>
    <x:tableColumn id="9" name="Opcional"/>
    <x:tableColumn id="10" name="Grupo ruta"/>
    <x:tableColumn id="11" name="Estilo mapa"/>
    <x:tableColumn id="12" name="Nuevo"/>
    <x:tableColumn id="13" name="Confianza distancia"/>
    <x:tableColumn id="14" name="Verificar en mapa"/>
    <x:tableColumn id="15" name="Not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dgetTable" displayName="BudgetTable" ref="A1:F44" headerRowCount="1" totalsRowCount="0" totalsRowShown="0">
  <x:tableColumns count="6">
    <x:tableColumn id="1" name="Categoría"/>
    <x:tableColumn id="2" name="Concepto"/>
    <x:tableColumn id="3" name="Mín USD"/>
    <x:tableColumn id="4" name="Máx USD"/>
    <x:tableColumn id="5" name="Tipo"/>
    <x:tableColumn id="6" name="Not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rvationsTable" displayName="ReservationsTable" ref="A1:H7" headerRowCount="1" totalsRowCount="0" totalsRowShown="0">
  <x:tableColumns count="8">
    <x:tableColumn id="1" name="Prioridad"/>
    <x:tableColumn id="2" name="Elemento"/>
    <x:tableColumn id="3" name="Día / hora objetivo"/>
    <x:tableColumn id="4" name="Acción"/>
    <x:tableColumn id="5" name="¿Fijo?"/>
    <x:tableColumn id="6" name="Costo / referencia"/>
    <x:tableColumn id="7" name="Plan B / recorte"/>
    <x:tableColumn id="8" name="Not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uideDetailTable" displayName="GuideDetailTable" ref="A1:E53" headerRowCount="1" totalsRowCount="0" totalsRowShown="0">
  <x:tableColumns count="5">
    <x:tableColumn id="1" name="Día / sección"/>
    <x:tableColumn id="2" name="Tema"/>
    <x:tableColumn id="3" name="Detalle preservado / revisado"/>
    <x:tableColumn id="4" name="Map_ID / relación"/>
    <x:tableColumn id="5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1b6051c03645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4219c5c29047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83894acb9f49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14392c67a441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20e5f36f9194e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f9b138df2324b7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27ca4ffec5ff4e2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0" hidden="0" customWidth="1"/>
    <x:col min="4" max="4" width="10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8" hidden="0" customWidth="1"/>
    <x:col min="10" max="10" width="20" hidden="0" customWidth="1"/>
    <x:col min="11" max="11" width="46" hidden="0" customWidth="1"/>
    <x:col min="12" max="12" width="38" hidden="0" customWidth="1"/>
    <x:col min="14" max="14" width="12" hidden="0" customWidth="1"/>
    <x:col min="15" max="15" width="12" hidden="0" customWidth="1"/>
  </x:cols>
  <x:sheetData>
    <x:row r="1" ht="30" customHeight="1">
      <x:c r="A1" s="15" t="str">
        <x:v>NYC · MASTER DEL ITINERARIO · 13–18 SEP 2026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>
      <x:c r="A2" s="23" t="str">
        <x:v>Objetivo: conservar la guía, revisar tiempos con 100 m/min, proteger descanso e imprevistos y dejar datos listos para construir el mapa.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23" t="str">
        <x:v>Nota: “descanso” y “buffer” son minutos ya contenidos dentro de los bloques horarios; sirven para ver cuánto aire tiene el día, no se suman de nuevo.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5">
      <x:c r="A5" s="44" t="str">
        <x:v>Día</x:v>
      </x:c>
      <x:c r="B5" s="44" t="str">
        <x:v>Ruta principal</x:v>
      </x:c>
      <x:c r="C5" s="44" t="str">
        <x:v>Inicio</x:v>
      </x:c>
      <x:c r="D5" s="44" t="str">
        <x:v>Fin base</x:v>
      </x:c>
      <x:c r="E5" s="44" t="str">
        <x:v>Ruta a pie base km</x:v>
      </x:c>
      <x:c r="F5" s="44" t="str">
        <x:v>Tiempo a pie base min</x:v>
      </x:c>
      <x:c r="G5" s="44" t="str">
        <x:v>Caminata incidental km</x:v>
      </x:c>
      <x:c r="H5" s="44" t="str">
        <x:v>Total km aprox.</x:v>
      </x:c>
      <x:c r="I5" s="44" t="str">
        <x:v>Descanso reservado min</x:v>
      </x:c>
      <x:c r="J5" s="44" t="str">
        <x:v>Buffer / imprevistos min</x:v>
      </x:c>
      <x:c r="K5" s="44" t="str">
        <x:v>Revisión de margen</x:v>
      </x:c>
      <x:c r="L5" s="31" t="str">
        <x:v>Impacto de opcionales</x:v>
      </x:c>
    </x:row>
    <x:row r="6">
      <x:c r="A6" s="54" t="str">
        <x:v>Dom 13</x:v>
      </x:c>
      <x:c r="B6" s="54" t="str">
        <x:v>JFK → Chelsea → Chelsea Market → High Line sur → Little Island</x:v>
      </x:c>
      <x:c r="C6" s="55" t="n">
        <x:v>46278.541666666664</x:v>
      </x:c>
      <x:c r="D6" s="55" t="n">
        <x:v>46278.895833333336</x:v>
      </x:c>
      <x:c r="E6" s="56" t="n">
        <x:f>SUMIFS('03_Map_Segments'!$P$2:$P$83,'03_Map_Segments'!$A$2:$A$83,$A6,'03_Map_Segments'!$I$2:$I$83,"No")/1000</x:f>
        <x:v>3.261</x:v>
      </x:c>
      <x:c r="F6" s="56" t="n">
        <x:f>E6*1000/'99_Parametros'!$B$2</x:f>
        <x:v>32.61</x:v>
      </x:c>
      <x:c r="G6" s="56" t="n">
        <x:v>0.5</x:v>
      </x:c>
      <x:c r="H6" s="56" t="n">
        <x:f>E6+G6</x:f>
        <x:v>3.761</x:v>
      </x:c>
      <x:c r="I6" s="57" t="n">
        <x:f>SUMIF('01_Itinerario'!$A$2:$A$70,$A6,'01_Itinerario'!$K$2:$K$70)</x:f>
        <x:v>170</x:v>
      </x:c>
      <x:c r="J6" s="57" t="n">
        <x:f>SUMIF('01_Itinerario'!$A$2:$A$70,$A6,'01_Itinerario'!$L$2:$L$70)</x:f>
        <x:v>110</x:v>
      </x:c>
      <x:c r="K6" s="54" t="str">
        <x:v>No llenar aunque sobre tiempo: margen deliberado por vuelo/migraciones.</x:v>
      </x:c>
      <x:c r="L6" s="42" t="str">
        <x:v>High Line sur se corta sólo si llegan tarde.</x:v>
      </x:c>
    </x:row>
    <x:row r="7">
      <x:c r="A7" s="54" t="str">
        <x:v>Lun 14</x:v>
      </x:c>
      <x:c r="B7" s="54" t="str">
        <x:v>WTC → FiDi → Battery → ferry → Seaport opcional</x:v>
      </x:c>
      <x:c r="C7" s="55" t="n">
        <x:v>46279.354166666664</x:v>
      </x:c>
      <x:c r="D7" s="55" t="n">
        <x:v>46279.854166666664</x:v>
      </x:c>
      <x:c r="E7" s="56" t="n">
        <x:f>SUMIFS('03_Map_Segments'!$P$2:$P$83,'03_Map_Segments'!$A$2:$A$83,$A7,'03_Map_Segments'!$I$2:$I$83,"No")/1000</x:f>
        <x:v>3.313</x:v>
      </x:c>
      <x:c r="F7" s="56" t="n">
        <x:f>E7*1000/'99_Parametros'!$B$2</x:f>
        <x:v>33.13</x:v>
      </x:c>
      <x:c r="G7" s="56" t="n">
        <x:v>1</x:v>
      </x:c>
      <x:c r="H7" s="56" t="n">
        <x:f>E7+G7</x:f>
        <x:v>4.313000000000001</x:v>
      </x:c>
      <x:c r="I7" s="57" t="n">
        <x:f>SUMIF('01_Itinerario'!$A$2:$A$70,$A7,'01_Itinerario'!$K$2:$K$70)</x:f>
        <x:v>325</x:v>
      </x:c>
      <x:c r="J7" s="57" t="n">
        <x:f>SUMIF('01_Itinerario'!$A$2:$A$70,$A7,'01_Itinerario'!$L$2:$L$70)</x:f>
        <x:v>175</x:v>
      </x:c>
      <x:c r="K7" s="54" t="str">
        <x:v>Sin bache grande. Seaport absorbe margen; si se omite, usar tiempo para volver/descansar/compras.</x:v>
      </x:c>
      <x:c r="L7" s="42" t="str">
        <x:v>Seaport agrega ~1,3 km de caminata frente al regreso directo; es el primer recorte.</x:v>
      </x:c>
    </x:row>
    <x:row r="8">
      <x:c r="A8" s="54" t="str">
        <x:v>Mar 15</x:v>
      </x:c>
      <x:c r="B8" s="54" t="str">
        <x:v>Central Park → Met → bus → Roosevelt Tram → Fifth/Rockefeller → Times Square</x:v>
      </x:c>
      <x:c r="C8" s="55" t="n">
        <x:v>46280.354166666664</x:v>
      </x:c>
      <x:c r="D8" s="55" t="n">
        <x:v>46280.875</x:v>
      </x:c>
      <x:c r="E8" s="56" t="n">
        <x:f>SUMIFS('03_Map_Segments'!$P$2:$P$83,'03_Map_Segments'!$A$2:$A$83,$A8,'03_Map_Segments'!$I$2:$I$83,"No")/1000</x:f>
        <x:v>8.613</x:v>
      </x:c>
      <x:c r="F8" s="56" t="n">
        <x:f>E8*1000/'99_Parametros'!$B$2</x:f>
        <x:v>86.13</x:v>
      </x:c>
      <x:c r="G8" s="56" t="n">
        <x:v>1.3</x:v>
      </x:c>
      <x:c r="H8" s="56" t="n">
        <x:f>E8+G8</x:f>
        <x:v>9.913</x:v>
      </x:c>
      <x:c r="I8" s="57" t="n">
        <x:f>SUMIF('01_Itinerario'!$A$2:$A$70,$A8,'01_Itinerario'!$K$2:$K$70)</x:f>
        <x:v>235</x:v>
      </x:c>
      <x:c r="J8" s="57" t="n">
        <x:f>SUMIF('01_Itinerario'!$A$2:$A$70,$A8,'01_Itinerario'!$L$2:$L$70)</x:f>
        <x:v>150</x:v>
      </x:c>
      <x:c r="K8" s="54" t="str">
        <x:v>No hay bache grande tras sumar Tram. Si Met dura ~90 min y todo fluye, puede aparecer 45–60 min: primero descanso/compras.</x:v>
      </x:c>
      <x:c r="L8" s="42" t="str">
        <x:v>FAO es un desvío mínimo. Roosevelt Tram ya está integrado a la base y suma ~2,2 km de acceso/mini paseo.</x:v>
      </x:c>
    </x:row>
    <x:row r="9">
      <x:c r="A9" s="54" t="str">
        <x:v>Mié 16</x:v>
      </x:c>
      <x:c r="B9" s="54" t="str">
        <x:v>DUMBO → Promenade → Brooklyn Bridge → Chinatown → SoHo/Village</x:v>
      </x:c>
      <x:c r="C9" s="55" t="n">
        <x:v>46281.34375</x:v>
      </x:c>
      <x:c r="D9" s="55" t="n">
        <x:v>46281.75</x:v>
      </x:c>
      <x:c r="E9" s="56" t="n">
        <x:f>SUMIFS('03_Map_Segments'!$P$2:$P$83,'03_Map_Segments'!$A$2:$A$83,$A9,'03_Map_Segments'!$I$2:$I$83,"No")/1000</x:f>
        <x:v>10.25</x:v>
      </x:c>
      <x:c r="F9" s="56" t="n">
        <x:f>E9*1000/'99_Parametros'!$B$2</x:f>
        <x:v>102.5</x:v>
      </x:c>
      <x:c r="G9" s="56" t="n">
        <x:v>1</x:v>
      </x:c>
      <x:c r="H9" s="56" t="n">
        <x:f>E9+G9</x:f>
        <x:v>11.25</x:v>
      </x:c>
      <x:c r="I9" s="57" t="n">
        <x:f>SUMIF('01_Itinerario'!$A$2:$A$70,$A9,'01_Itinerario'!$K$2:$K$70)</x:f>
        <x:v>365</x:v>
      </x:c>
      <x:c r="J9" s="57" t="n">
        <x:f>SUMIF('01_Itinerario'!$A$2:$A$70,$A9,'01_Itinerario'!$L$2:$L$70)</x:f>
        <x:v>185</x:v>
      </x:c>
      <x:c r="K9" s="54" t="str">
        <x:v>No sumar. Cualquier ahorro se conserva para descanso antes de la salida de pareja.</x:v>
      </x:c>
      <x:c r="L9" s="42" t="str">
        <x:v>Le Bain agrega ~0,9 km para Fer + Jeni; el día familiar base queda sin agregados extra.</x:v>
      </x:c>
    </x:row>
    <x:row r="10">
      <x:c r="A10" s="54" t="str">
        <x:v>Jue 17</x:v>
      </x:c>
      <x:c r="B10" s="54" t="str">
        <x:v>High Line → Hudson Yards → Moynihan → Herald → Empire → Bryant/NYPL → Grand Central → SUMMIT</x:v>
      </x:c>
      <x:c r="C10" s="55" t="n">
        <x:v>46282.364583333336</x:v>
      </x:c>
      <x:c r="D10" s="55" t="n">
        <x:v>46282.875</x:v>
      </x:c>
      <x:c r="E10" s="56" t="n">
        <x:f>SUMIFS('03_Map_Segments'!$P$2:$P$83,'03_Map_Segments'!$A$2:$A$83,$A10,'03_Map_Segments'!$I$2:$I$83,"No")/1000</x:f>
        <x:v>6.637</x:v>
      </x:c>
      <x:c r="F10" s="56" t="n">
        <x:f>E10*1000/'99_Parametros'!$B$2</x:f>
        <x:v>66.37</x:v>
      </x:c>
      <x:c r="G10" s="56" t="n">
        <x:v>1</x:v>
      </x:c>
      <x:c r="H10" s="56" t="n">
        <x:f>E10+G10</x:f>
        <x:v>7.637</x:v>
      </x:c>
      <x:c r="I10" s="57" t="n">
        <x:f>SUMIF('01_Itinerario'!$A$2:$A$70,$A10,'01_Itinerario'!$K$2:$K$70)</x:f>
        <x:v>235</x:v>
      </x:c>
      <x:c r="J10" s="57" t="n">
        <x:f>SUMIF('01_Itinerario'!$A$2:$A$70,$A10,'01_Itinerario'!$L$2:$L$70)</x:f>
        <x:v>185</x:v>
      </x:c>
      <x:c r="K10" s="54" t="str">
        <x:v>Ruta ya ampliada. Tudor City sólo si van &gt;40 min adelantados; reemplaza SNFL o parte del margen, no se apila.</x:v>
      </x:c>
      <x:c r="L10" s="42" t="str">
        <x:v>Macy's y SNFL son microdesvíos. Tudor City agrega ~1,4 km ida/vuelta y sólo entra si sobra margen real.</x:v>
      </x:c>
    </x:row>
    <x:row r="11">
      <x:c r="A11" s="54" t="str">
        <x:v>Vie 18</x:v>
      </x:c>
      <x:c r="B11" s="54" t="str">
        <x:v>Chelsea → Penn → Jamaica → JFK</x:v>
      </x:c>
      <x:c r="C11" s="55" t="n">
        <x:v>46283.34375</x:v>
      </x:c>
      <x:c r="D11" s="55" t="n">
        <x:v>46283.520833333336</x:v>
      </x:c>
      <x:c r="E11" s="56" t="n">
        <x:f>SUMIFS('03_Map_Segments'!$P$2:$P$83,'03_Map_Segments'!$A$2:$A$83,$A11,'03_Map_Segments'!$I$2:$I$83,"No")/1000</x:f>
        <x:v>0.35</x:v>
      </x:c>
      <x:c r="F11" s="56" t="n">
        <x:f>E11*1000/'99_Parametros'!$B$2</x:f>
        <x:v>3.5</x:v>
      </x:c>
      <x:c r="G11" s="56" t="n">
        <x:v>0.3</x:v>
      </x:c>
      <x:c r="H11" s="56" t="n">
        <x:f>E11+G11</x:f>
        <x:v>0.6499999999999999</x:v>
      </x:c>
      <x:c r="I11" s="57" t="n">
        <x:f>SUMIF('01_Itinerario'!$A$2:$A$70,$A11,'01_Itinerario'!$K$2:$K$70)</x:f>
        <x:v>100</x:v>
      </x:c>
      <x:c r="J11" s="57" t="n">
        <x:f>SUMIF('01_Itinerario'!$A$2:$A$70,$A11,'01_Itinerario'!$L$2:$L$70)</x:f>
        <x:v>115</x:v>
      </x:c>
      <x:c r="K11" s="54" t="str">
        <x:v>No tocar. El margen del aeropuerto es intencional.</x:v>
      </x:c>
      <x:c r="L11" s="42" t="str">
        <x:v>Sin opcionales.</x:v>
      </x:c>
    </x:row>
    <x:row r="14">
      <x:c r="A14" s="31" t="str">
        <x:v>CAMBIOS CLAVE VS. PDF</x:v>
      </x:c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</x:row>
    <x:row r="15">
      <x:c r="A15" s="38" t="str">
        <x:v>Ritmo</x:v>
      </x:c>
      <x:c r="B15" s="42" t="str">
        <x:v>100 m = 1 min de caminata efectiva; no mezclar tiempo de caminata con permanencia.</x:v>
      </x:c>
      <x:c r="C15" s="42"/>
      <x:c r="D15" s="42"/>
      <x:c r="E15" s="42"/>
      <x:c r="F15" s="42"/>
      <x:c r="G15" s="42"/>
      <x:c r="H15" s="42"/>
      <x:c r="I15" s="42"/>
      <x:c r="J15" s="42"/>
      <x:c r="K15" s="42"/>
    </x:row>
    <x:row r="16">
      <x:c r="A16" s="38" t="str">
        <x:v>The Met</x:v>
      </x:c>
      <x:c r="B16" s="42" t="str">
        <x:v>1 h 45 planificada; máximo 2 h. Ya no se reservan 3 h.</x:v>
      </x:c>
      <x:c r="C16" s="42"/>
      <x:c r="D16" s="42"/>
      <x:c r="E16" s="42"/>
      <x:c r="F16" s="42"/>
      <x:c r="G16" s="42"/>
      <x:c r="H16" s="42"/>
      <x:c r="I16" s="42"/>
      <x:c r="J16" s="42"/>
      <x:c r="K16" s="42"/>
    </x:row>
    <x:row r="17">
      <x:c r="A17" s="38" t="str">
        <x:v>Martes</x:v>
      </x:c>
      <x:c r="B17" s="42" t="str">
        <x:v>Se suma Roosevelt Island Tram y se explicitan Paley Park / FAO como microparadas; bus desde el Met para descargar piernas.</x:v>
      </x:c>
      <x:c r="C17" s="42"/>
      <x:c r="D17" s="42"/>
      <x:c r="E17" s="42"/>
      <x:c r="F17" s="42"/>
      <x:c r="G17" s="42"/>
      <x:c r="H17" s="42"/>
      <x:c r="I17" s="42"/>
      <x:c r="J17" s="42"/>
      <x:c r="K17" s="42"/>
    </x:row>
    <x:row r="18">
      <x:c r="A18" s="38" t="str">
        <x:v>Jueves</x:v>
      </x:c>
      <x:c r="B18" s="42" t="str">
        <x:v>Se reemplaza el salto en línea 7 por paseo Hudson Yards → Moynihan → Herald/Macy's → Empire exterior → Bryant Park.</x:v>
      </x:c>
      <x:c r="C18" s="42"/>
      <x:c r="D18" s="42"/>
      <x:c r="E18" s="42"/>
      <x:c r="F18" s="42"/>
      <x:c r="G18" s="42"/>
      <x:c r="H18" s="42"/>
      <x:c r="I18" s="42"/>
      <x:c r="J18" s="42"/>
      <x:c r="K18" s="42"/>
    </x:row>
    <x:row r="19">
      <x:c r="A19" s="38" t="str">
        <x:v>Descanso</x:v>
      </x:c>
      <x:c r="B19" s="42" t="str">
        <x:v>Comidas, pausas, compras e imprevistos tienen bloques propios. No convertir cada hueco en un destino.</x:v>
      </x:c>
      <x:c r="C19" s="42"/>
      <x:c r="D19" s="42"/>
      <x:c r="E19" s="42"/>
      <x:c r="F19" s="42"/>
      <x:c r="G19" s="42"/>
      <x:c r="H19" s="42"/>
      <x:c r="I19" s="42"/>
      <x:c r="J19" s="42"/>
      <x:c r="K19" s="42"/>
    </x:row>
    <x:row r="20">
      <x:c r="A20" s="38" t="str">
        <x:v>Mapa</x:v>
      </x:c>
      <x:c r="B20" s="42" t="str">
        <x:v>Puntos geocodificados y segmentos auditados. Cada tramo tiene URL de Google Maps; los pins de precisión media quedan marcados para revisión visual final.</x:v>
      </x:c>
      <x:c r="C20" s="42"/>
      <x:c r="D20" s="42"/>
      <x:c r="E20" s="42"/>
      <x:c r="F20" s="42"/>
      <x:c r="G20" s="42"/>
      <x:c r="H20" s="42"/>
      <x:c r="I20" s="42"/>
      <x:c r="J20" s="42"/>
      <x:c r="K20" s="42"/>
    </x:row>
    <x:row r="21">
      <x:c r="A21" s="38" t="str">
        <x:v>Distancias</x:v>
      </x:c>
      <x:c r="B21" s="42" t="str">
        <x:v>La columna P de 03_Map_Segments es la distancia vigente; Q convierte con 100 m/min. “Verificado web” usa una fuente externa; “Auditado por trazado urbano” es una estimación manual preparada para validar al generar la polilínea.</x:v>
      </x:c>
      <x:c r="C21" s="42"/>
      <x:c r="D21" s="42"/>
      <x:c r="E21" s="42"/>
      <x:c r="F21" s="42"/>
      <x:c r="G21" s="42"/>
      <x:c r="H21" s="42"/>
      <x:c r="I21" s="42"/>
      <x:c r="J21" s="42"/>
      <x:c r="K21" s="42"/>
    </x:row>
    <x:row r="22">
      <x:c r="N22" s="31" t="str">
        <x:v>Día</x:v>
      </x:c>
      <x:c r="O22" s="31" t="str">
        <x:v>Km base</x:v>
      </x:c>
    </x:row>
    <x:row r="23">
      <x:c r="N23" t="str">
        <x:v>Dom 13</x:v>
      </x:c>
      <x:c r="O23" s="8" t="n">
        <x:f>E6</x:f>
        <x:v>3.261</x:v>
      </x:c>
    </x:row>
    <x:row r="24">
      <x:c r="N24" t="str">
        <x:v>Lun 14</x:v>
      </x:c>
      <x:c r="O24" s="8" t="n">
        <x:f>E7</x:f>
        <x:v>3.313</x:v>
      </x:c>
    </x:row>
    <x:row r="25">
      <x:c r="N25" t="str">
        <x:v>Mar 15</x:v>
      </x:c>
      <x:c r="O25" s="8" t="n">
        <x:f>E8</x:f>
        <x:v>8.613</x:v>
      </x:c>
    </x:row>
    <x:row r="26">
      <x:c r="N26" t="str">
        <x:v>Mié 16</x:v>
      </x:c>
      <x:c r="O26" s="8" t="n">
        <x:f>E9</x:f>
        <x:v>10.25</x:v>
      </x:c>
    </x:row>
    <x:row r="27">
      <x:c r="N27" t="str">
        <x:v>Jue 17</x:v>
      </x:c>
      <x:c r="O27" s="8" t="n">
        <x:f>E10</x:f>
        <x:v>6.637</x:v>
      </x:c>
    </x:row>
    <x:row r="28">
      <x:c r="N28" t="str">
        <x:v>Vie 18</x:v>
      </x:c>
      <x:c r="O28" s="8" t="n">
        <x:f>E11</x:f>
        <x:v>0.35</x:v>
      </x:c>
    </x:row>
  </x:sheetData>
  <x:mergeCells>
    <x:mergeCell ref="A1:K1"/>
    <x:mergeCell ref="A2:K2"/>
    <x:mergeCell ref="A14:K14"/>
    <x:mergeCell ref="B15:K15"/>
    <x:mergeCell ref="B16:K16"/>
    <x:mergeCell ref="B17:K17"/>
    <x:mergeCell ref="B18:K18"/>
    <x:mergeCell ref="B19:K19"/>
    <x:mergeCell ref="B20:K20"/>
    <x:mergeCell ref="B21:K21"/>
    <x:mergeCell ref="A3:K3"/>
  </x:mergeCells>
  <x:pageMargins left="0.7" right="0.7" top="0.75" bottom="0.75" header="0.3" footer="0.3"/>
  <x:drawing xmlns:r="http://schemas.openxmlformats.org/officeDocument/2006/relationships" r:id="R721b6051c03645f7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7" hidden="0" customWidth="1"/>
    <x:col min="4" max="4" width="9" hidden="0" customWidth="1"/>
    <x:col min="5" max="5" width="9" hidden="0" customWidth="1"/>
    <x:col min="6" max="6" width="18" hidden="0" customWidth="1"/>
    <x:col min="7" max="7" width="30" hidden="0" customWidth="1"/>
    <x:col min="8" max="8" width="55" hidden="0" customWidth="1"/>
    <x:col min="9" max="9" width="18" hidden="0" customWidth="1"/>
    <x:col min="10" max="10" width="13" hidden="0" customWidth="1"/>
    <x:col min="11" max="11" width="12" hidden="0" customWidth="1"/>
    <x:col min="12" max="12" width="11" hidden="0" customWidth="1"/>
    <x:col min="13" max="13" width="16" hidden="0" customWidth="1"/>
    <x:col min="14" max="14" width="11" hidden="0" customWidth="1"/>
    <x:col min="15" max="15" width="10" hidden="0" customWidth="1"/>
    <x:col min="16" max="16" width="11" hidden="0" customWidth="1"/>
    <x:col min="17" max="17" width="9" hidden="0" customWidth="1"/>
    <x:col min="18" max="18" width="22" hidden="0" customWidth="1"/>
    <x:col min="19" max="19" width="38" hidden="0" customWidth="1"/>
    <x:col min="20" max="20" width="26" hidden="0" customWidth="1"/>
    <x:col min="21" max="21" width="34" hidden="0" customWidth="1"/>
    <x:col min="22" max="22" width="42" hidden="0" customWidth="1"/>
  </x:cols>
  <x:sheetData>
    <x:row r="1" ht="32" customHeight="1">
      <x:c r="A1" s="31" t="str">
        <x:v>Día</x:v>
      </x:c>
      <x:c r="B1" s="31" t="str">
        <x:v>Fecha</x:v>
      </x:c>
      <x:c r="C1" s="31" t="str">
        <x:v>Orden</x:v>
      </x:c>
      <x:c r="D1" s="31" t="str">
        <x:v>Inicio</x:v>
      </x:c>
      <x:c r="E1" s="31" t="str">
        <x:v>Fin</x:v>
      </x:c>
      <x:c r="F1" s="31" t="str">
        <x:v>Tipo</x:v>
      </x:c>
      <x:c r="G1" s="31" t="str">
        <x:v>Actividad / Lugar</x:v>
      </x:c>
      <x:c r="H1" s="31" t="str">
        <x:v>Detalle</x:v>
      </x:c>
      <x:c r="I1" s="31" t="str">
        <x:v>Modo</x:v>
      </x:c>
      <x:c r="J1" s="31" t="str">
        <x:v>Permanencia min</x:v>
      </x:c>
      <x:c r="K1" s="31" t="str">
        <x:v>Descanso min</x:v>
      </x:c>
      <x:c r="L1" s="31" t="str">
        <x:v>Buffer min</x:v>
      </x:c>
      <x:c r="M1" s="31" t="str">
        <x:v>Duración planificada min</x:v>
      </x:c>
      <x:c r="N1" s="31" t="str">
        <x:v>Prioridad</x:v>
      </x:c>
      <x:c r="O1" s="31" t="str">
        <x:v>Opcional</x:v>
      </x:c>
      <x:c r="P1" s="31" t="str">
        <x:v>Orden recorte</x:v>
      </x:c>
      <x:c r="Q1" s="31" t="str">
        <x:v>Nuevo</x:v>
      </x:c>
      <x:c r="R1" s="31" t="str">
        <x:v>Map_ID</x:v>
      </x:c>
      <x:c r="S1" s="31" t="str">
        <x:v>Map Query</x:v>
      </x:c>
      <x:c r="T1" s="31" t="str">
        <x:v>Abrir en Google Maps</x:v>
      </x:c>
      <x:c r="U1" s="31" t="str">
        <x:v>Nota de recorrido</x:v>
      </x:c>
      <x:c r="V1" s="31" t="str">
        <x:v>Revisión</x:v>
      </x:c>
    </x:row>
    <x:row r="2" ht="48" customHeight="1">
      <x:c r="A2" s="45" t="str">
        <x:v>Dom 13</x:v>
      </x:c>
      <x:c r="B2" s="62" t="n">
        <x:v>46278</x:v>
      </x:c>
      <x:c r="C2" s="45" t="n">
        <x:v>1</x:v>
      </x:c>
      <x:c r="D2" s="46" t="n">
        <x:v>46278.541666666664</x:v>
      </x:c>
      <x:c r="E2" s="46" t="n">
        <x:v>46278.635416666664</x:v>
      </x:c>
      <x:c r="F2" s="45" t="str">
        <x:v>Llegada</x:v>
      </x:c>
      <x:c r="G2" s="54" t="str">
        <x:v>JFK: migraciones + equipaje</x:v>
      </x:c>
      <x:c r="H2" s="54" t="str">
        <x:v>El avión aterriza ~13:00. Mantener margen amplio para migraciones, equipaje y salida; no reservar nada esa tarde.</x:v>
      </x:c>
      <x:c r="I2" s="54" t="str"/>
      <x:c r="J2" s="54" t="n">
        <x:v>0</x:v>
      </x:c>
      <x:c r="K2" s="54" t="n">
        <x:v>0</x:v>
      </x:c>
      <x:c r="L2" s="54" t="n">
        <x:v>45</x:v>
      </x:c>
      <x:c r="M2" s="54" t="n">
        <x:f>IF(OR(D2="",E2=""),"",ROUND((E2-D2)*1440,0))</x:f>
        <x:v>135</x:v>
      </x:c>
      <x:c r="N2" s="54" t="str">
        <x:v>Esencial</x:v>
      </x:c>
      <x:c r="O2" s="54" t="str">
        <x:v>No</x:v>
      </x:c>
      <x:c r="P2" s="54" t="str"/>
      <x:c r="Q2" s="54" t="str">
        <x:v>No</x:v>
      </x:c>
      <x:c r="R2" s="54" t="str">
        <x:v>JFK</x:v>
      </x:c>
      <x:c r="S2" s="54" t="str">
        <x:v>John F. Kennedy International Airport</x:v>
      </x:c>
      <x:c r="T2" s="54" t="str">
        <x:v>https://www.google.com/maps/search/?api=1&amp;query=John+F.+Kennedy+International+Airport</x:v>
      </x:c>
      <x:c r="U2" s="54" t="str"/>
      <x:c r="V2" s="54" t="str"/>
    </x:row>
    <x:row r="3" ht="48" customHeight="1">
      <x:c r="A3" s="45" t="str">
        <x:v>Dom 13</x:v>
      </x:c>
      <x:c r="B3" s="62" t="n">
        <x:v>46278</x:v>
      </x:c>
      <x:c r="C3" s="45" t="n">
        <x:v>2</x:v>
      </x:c>
      <x:c r="D3" s="46" t="n">
        <x:v>46278.635416666664</x:v>
      </x:c>
      <x:c r="E3" s="46" t="n">
        <x:v>46278.708333333336</x:v>
      </x:c>
      <x:c r="F3" s="45" t="str">
        <x:v>Traslado</x:v>
      </x:c>
      <x:c r="G3" s="54" t="str">
        <x:v>JFK → Chelsea</x:v>
      </x:c>
      <x:c r="H3" s="54" t="str">
        <x:v>AirTrain → Jamaica, LIRR → Penn Station, metro E → 14 St-8 Av y caminata al departamento. Horario deliberadamente flexible.</x:v>
      </x:c>
      <x:c r="I3" s="54" t="str">
        <x:v>AirTrain + LIRR + metro E</x:v>
      </x:c>
      <x:c r="J3" s="54" t="n">
        <x:v>0</x:v>
      </x:c>
      <x:c r="K3" s="54" t="n">
        <x:v>35</x:v>
      </x:c>
      <x:c r="L3" s="54" t="n">
        <x:v>20</x:v>
      </x:c>
      <x:c r="M3" s="54" t="n">
        <x:f>IF(OR(D3="",E3=""),"",ROUND((E3-D3)*1440,0))</x:f>
        <x:v>105</x:v>
      </x:c>
      <x:c r="N3" s="54" t="str">
        <x:v>Esencial</x:v>
      </x:c>
      <x:c r="O3" s="54" t="str">
        <x:v>No</x:v>
      </x:c>
      <x:c r="P3" s="54" t="str"/>
      <x:c r="Q3" s="54" t="str">
        <x:v>No</x:v>
      </x:c>
      <x:c r="R3" s="54" t="str">
        <x:v>CHELSEA_BASE</x:v>
      </x:c>
      <x:c r="S3" s="54" t="str">
        <x:v>8th Avenue &amp; West 18th Street, New York, NY</x:v>
      </x:c>
      <x:c r="T3" s="54" t="str">
        <x:v>https://www.google.com/maps/search/?api=1&amp;query=8th+Avenue+%26+West+18th+Street%2C+New+York%2C+NY</x:v>
      </x:c>
      <x:c r="U3" s="54" t="str">
        <x:v>No convertir en paseo; objetivo = llegar cómodos.</x:v>
      </x:c>
      <x:c r="V3" s="54" t="str"/>
    </x:row>
    <x:row r="4" ht="48" customHeight="1">
      <x:c r="A4" s="45" t="str">
        <x:v>Dom 13</x:v>
      </x:c>
      <x:c r="B4" s="62" t="n">
        <x:v>46278</x:v>
      </x:c>
      <x:c r="C4" s="45" t="n">
        <x:v>3</x:v>
      </x:c>
      <x:c r="D4" s="46" t="n">
        <x:v>46278.708333333336</x:v>
      </x:c>
      <x:c r="E4" s="46" t="n">
        <x:v>46278.739583333336</x:v>
      </x:c>
      <x:c r="F4" s="45" t="str">
        <x:v>Descanso</x:v>
      </x:c>
      <x:c r="G4" s="54" t="str">
        <x:v>Check-in + acomodarse</x:v>
      </x:c>
      <x:c r="H4" s="54" t="str">
        <x:v>Baño, agua, valijas, cochecito y pausa real. Si el vuelo se demora, este bloque absorbe parte del atraso.</x:v>
      </x:c>
      <x:c r="I4" s="54" t="str"/>
      <x:c r="J4" s="54" t="n">
        <x:v>0</x:v>
      </x:c>
      <x:c r="K4" s="54" t="n">
        <x:v>45</x:v>
      </x:c>
      <x:c r="L4" s="54" t="n">
        <x:v>15</x:v>
      </x:c>
      <x:c r="M4" s="54" t="n">
        <x:f>IF(OR(D4="",E4=""),"",ROUND((E4-D4)*1440,0))</x:f>
        <x:v>45</x:v>
      </x:c>
      <x:c r="N4" s="54" t="str">
        <x:v>Esencial</x:v>
      </x:c>
      <x:c r="O4" s="54" t="str">
        <x:v>No</x:v>
      </x:c>
      <x:c r="P4" s="54" t="str"/>
      <x:c r="Q4" s="54" t="str">
        <x:v>No</x:v>
      </x:c>
      <x:c r="R4" s="54" t="str">
        <x:v>CHELSEA_BASE</x:v>
      </x:c>
      <x:c r="S4" s="54" t="str">
        <x:v>8th Avenue &amp; West 18th Street, New York, NY</x:v>
      </x:c>
      <x:c r="T4" s="54" t="str">
        <x:v>https://www.google.com/maps/search/?api=1&amp;query=8th+Avenue+%26+West+18th+Street%2C+New+York%2C+NY</x:v>
      </x:c>
      <x:c r="U4" s="54" t="str"/>
      <x:c r="V4" s="54" t="str"/>
    </x:row>
    <x:row r="5" ht="48" customHeight="1">
      <x:c r="A5" s="45" t="str">
        <x:v>Dom 13</x:v>
      </x:c>
      <x:c r="B5" s="62" t="n">
        <x:v>46278</x:v>
      </x:c>
      <x:c r="C5" s="45" t="n">
        <x:v>4</x:v>
      </x:c>
      <x:c r="D5" s="46" t="n">
        <x:v>46278.739583333336</x:v>
      </x:c>
      <x:c r="E5" s="46" t="n">
        <x:v>46278.78125</x:v>
      </x:c>
      <x:c r="F5" s="45" t="str">
        <x:v>Visita / comida</x:v>
      </x:c>
      <x:c r="G5" s="54" t="str">
        <x:v>Chelsea Market</x:v>
      </x:c>
      <x:c r="H5" s="54" t="str">
        <x:v>Recorrer sin obligación de cenar completo. Merienda/comida compartida, comprar agua o provisiones y usar baños.</x:v>
      </x:c>
      <x:c r="I5" s="54" t="str">
        <x:v>A pie</x:v>
      </x:c>
      <x:c r="J5" s="54" t="n">
        <x:v>60</x:v>
      </x:c>
      <x:c r="K5" s="54" t="n">
        <x:v>20</x:v>
      </x:c>
      <x:c r="L5" s="54" t="n">
        <x:v>10</x:v>
      </x:c>
      <x:c r="M5" s="54" t="n">
        <x:f>IF(OR(D5="",E5=""),"",ROUND((E5-D5)*1440,0))</x:f>
        <x:v>60</x:v>
      </x:c>
      <x:c r="N5" s="54" t="str">
        <x:v>Importante</x:v>
      </x:c>
      <x:c r="O5" s="54" t="str">
        <x:v>No</x:v>
      </x:c>
      <x:c r="P5" s="54" t="str"/>
      <x:c r="Q5" s="54" t="str">
        <x:v>No</x:v>
      </x:c>
      <x:c r="R5" s="54" t="str">
        <x:v>CHELSEA_MARKET</x:v>
      </x:c>
      <x:c r="S5" s="54" t="str">
        <x:v>Chelsea Market, New York, NY</x:v>
      </x:c>
      <x:c r="T5" s="54" t="str">
        <x:v>https://www.google.com/maps/search/?api=1&amp;query=Chelsea+Market%2C+New+York%2C+NY</x:v>
      </x:c>
      <x:c r="U5" s="54" t="str"/>
      <x:c r="V5" s="54" t="str"/>
    </x:row>
    <x:row r="6" ht="48" customHeight="1">
      <x:c r="A6" s="45" t="str">
        <x:v>Dom 13</x:v>
      </x:c>
      <x:c r="B6" s="62" t="n">
        <x:v>46278</x:v>
      </x:c>
      <x:c r="C6" s="45" t="n">
        <x:v>5</x:v>
      </x:c>
      <x:c r="D6" s="46" t="n">
        <x:v>46278.78125</x:v>
      </x:c>
      <x:c r="E6" s="46" t="n">
        <x:v>46278.8125</x:v>
      </x:c>
      <x:c r="F6" s="45" t="str">
        <x:v>Paseo</x:v>
      </x:c>
      <x:c r="G6" s="54" t="str">
        <x:v>High Line — tramo sur</x:v>
      </x:c>
      <x:c r="H6" s="54" t="str">
        <x:v>Paseo breve hacia Meatpacking. No intentar completar toda la High Line el día de llegada.</x:v>
      </x:c>
      <x:c r="I6" s="54" t="str">
        <x:v>A pie</x:v>
      </x:c>
      <x:c r="J6" s="54" t="n">
        <x:v>45</x:v>
      </x:c>
      <x:c r="K6" s="54" t="n">
        <x:v>0</x:v>
      </x:c>
      <x:c r="L6" s="54" t="n">
        <x:v>0</x:v>
      </x:c>
      <x:c r="M6" s="54" t="n">
        <x:f>IF(OR(D6="",E6=""),"",ROUND((E6-D6)*1440,0))</x:f>
        <x:v>45</x:v>
      </x:c>
      <x:c r="N6" s="54" t="str">
        <x:v>Importante</x:v>
      </x:c>
      <x:c r="O6" s="54" t="str">
        <x:v>Sí</x:v>
      </x:c>
      <x:c r="P6" s="54" t="str">
        <x:v>1</x:v>
      </x:c>
      <x:c r="Q6" s="54" t="str">
        <x:v>No</x:v>
      </x:c>
      <x:c r="R6" s="54" t="str">
        <x:v>HIGHLINE_SOUTH</x:v>
      </x:c>
      <x:c r="S6" s="54" t="str">
        <x:v>High Line, Gansevoort Street, New York, NY</x:v>
      </x:c>
      <x:c r="T6" s="54" t="str">
        <x:v>https://www.google.com/maps/search/?api=1&amp;query=High+Line%2C+Gansevoort+Street%2C+New+York%2C+NY</x:v>
      </x:c>
      <x:c r="U6" s="54" t="str"/>
      <x:c r="V6" s="54" t="str">
        <x:v>Si llegan al depto después de 18:30, cortar este bloque.</x:v>
      </x:c>
    </x:row>
    <x:row r="7" ht="48" customHeight="1">
      <x:c r="A7" s="45" t="str">
        <x:v>Dom 13</x:v>
      </x:c>
      <x:c r="B7" s="62" t="n">
        <x:v>46278</x:v>
      </x:c>
      <x:c r="C7" s="45" t="n">
        <x:v>6</x:v>
      </x:c>
      <x:c r="D7" s="46" t="n">
        <x:v>46278.8125</x:v>
      </x:c>
      <x:c r="E7" s="46" t="n">
        <x:v>46278.84375</x:v>
      </x:c>
      <x:c r="F7" s="45" t="str">
        <x:v>Paseo / descanso</x:v>
      </x:c>
      <x:c r="G7" s="54" t="str">
        <x:v>Little Island + Hudson River Park</x:v>
      </x:c>
      <x:c r="H7" s="54" t="str">
        <x:v>Recorrido corto junto al Hudson, fotos y una pausa. Buen cierre sin exigencia.</x:v>
      </x:c>
      <x:c r="I7" s="54" t="str">
        <x:v>A pie</x:v>
      </x:c>
      <x:c r="J7" s="54" t="n">
        <x:v>45</x:v>
      </x:c>
      <x:c r="K7" s="54" t="n">
        <x:v>10</x:v>
      </x:c>
      <x:c r="L7" s="54" t="n">
        <x:v>5</x:v>
      </x:c>
      <x:c r="M7" s="54" t="n">
        <x:f>IF(OR(D7="",E7=""),"",ROUND((E7-D7)*1440,0))</x:f>
        <x:v>45</x:v>
      </x:c>
      <x:c r="N7" s="54" t="str">
        <x:v>Importante</x:v>
      </x:c>
      <x:c r="O7" s="54" t="str">
        <x:v>No</x:v>
      </x:c>
      <x:c r="P7" s="54" t="str"/>
      <x:c r="Q7" s="54" t="str">
        <x:v>No</x:v>
      </x:c>
      <x:c r="R7" s="54" t="str">
        <x:v>LITTLE_ISLAND</x:v>
      </x:c>
      <x:c r="S7" s="54" t="str">
        <x:v>Little Island, New York, NY</x:v>
      </x:c>
      <x:c r="T7" s="54" t="str">
        <x:v>https://www.google.com/maps/search/?api=1&amp;query=Little+Island%2C+New+York%2C+NY</x:v>
      </x:c>
      <x:c r="U7" s="54" t="str"/>
      <x:c r="V7" s="54" t="str"/>
    </x:row>
    <x:row r="8" ht="48" customHeight="1">
      <x:c r="A8" s="45" t="str">
        <x:v>Dom 13</x:v>
      </x:c>
      <x:c r="B8" s="62" t="n">
        <x:v>46278</x:v>
      </x:c>
      <x:c r="C8" s="45" t="n">
        <x:v>7</x:v>
      </x:c>
      <x:c r="D8" s="46" t="n">
        <x:v>46278.84375</x:v>
      </x:c>
      <x:c r="E8" s="46" t="n">
        <x:v>46278.895833333336</x:v>
      </x:c>
      <x:c r="F8" s="45" t="str">
        <x:v>Cena / descanso</x:v>
      </x:c>
      <x:c r="G8" s="54" t="str">
        <x:v>Cena por Chelsea o Meatpacking</x:v>
      </x:c>
      <x:c r="H8" s="54" t="str">
        <x:v>Cena tranquila. No agregar actividades aunque hayan ganado tiempo: el margen del primer día es intencional.</x:v>
      </x:c>
      <x:c r="I8" s="54" t="str"/>
      <x:c r="J8" s="54" t="n">
        <x:v>0</x:v>
      </x:c>
      <x:c r="K8" s="54" t="n">
        <x:v>60</x:v>
      </x:c>
      <x:c r="L8" s="54" t="n">
        <x:v>15</x:v>
      </x:c>
      <x:c r="M8" s="54" t="n">
        <x:f>IF(OR(D8="",E8=""),"",ROUND((E8-D8)*1440,0))</x:f>
        <x:v>75</x:v>
      </x:c>
      <x:c r="N8" s="54" t="str">
        <x:v>Esencial</x:v>
      </x:c>
      <x:c r="O8" s="54" t="str">
        <x:v>No</x:v>
      </x:c>
      <x:c r="P8" s="54" t="str"/>
      <x:c r="Q8" s="54" t="str">
        <x:v>No</x:v>
      </x:c>
      <x:c r="R8" s="54" t="str">
        <x:v>CHELSEA_BASE</x:v>
      </x:c>
      <x:c r="S8" s="54" t="str">
        <x:v>8th Avenue &amp; West 18th Street, New York, NY</x:v>
      </x:c>
      <x:c r="T8" s="54" t="str">
        <x:v>https://www.google.com/maps/search/?api=1&amp;query=8th+Avenue+%26+West+18th+Street%2C+New+York%2C+NY</x:v>
      </x:c>
      <x:c r="U8" s="54" t="str"/>
      <x:c r="V8" s="54" t="str">
        <x:v>No llenar huecos: descanso tras vuelo internacional.</x:v>
      </x:c>
    </x:row>
    <x:row r="9" ht="48" customHeight="1">
      <x:c r="A9" s="45" t="str">
        <x:v>Lun 14</x:v>
      </x:c>
      <x:c r="B9" s="62" t="n">
        <x:v>46279</x:v>
      </x:c>
      <x:c r="C9" s="45" t="n">
        <x:v>1</x:v>
      </x:c>
      <x:c r="D9" s="46" t="n">
        <x:v>46279.354166666664</x:v>
      </x:c>
      <x:c r="E9" s="46" t="n">
        <x:v>46279.375</x:v>
      </x:c>
      <x:c r="F9" s="45" t="str">
        <x:v>Traslado</x:v>
      </x:c>
      <x:c r="G9" s="54" t="str">
        <x:v>Chelsea → World Trade Center</x:v>
      </x:c>
      <x:c r="H9" s="54" t="str">
        <x:v>Metro E desde 14 St-8 Av. Confirmar cambios MTA esa mañana.</x:v>
      </x:c>
      <x:c r="I9" s="54" t="str">
        <x:v>Metro E</x:v>
      </x:c>
      <x:c r="J9" s="54" t="n">
        <x:v>0</x:v>
      </x:c>
      <x:c r="K9" s="54" t="n">
        <x:v>15</x:v>
      </x:c>
      <x:c r="L9" s="54" t="n">
        <x:v>5</x:v>
      </x:c>
      <x:c r="M9" s="54" t="n">
        <x:f>IF(OR(D9="",E9=""),"",ROUND((E9-D9)*1440,0))</x:f>
        <x:v>30</x:v>
      </x:c>
      <x:c r="N9" s="54" t="str">
        <x:v>Esencial</x:v>
      </x:c>
      <x:c r="O9" s="54" t="str">
        <x:v>No</x:v>
      </x:c>
      <x:c r="P9" s="54" t="str"/>
      <x:c r="Q9" s="54" t="str">
        <x:v>No</x:v>
      </x:c>
      <x:c r="R9" s="54" t="str">
        <x:v>OCULUS</x:v>
      </x:c>
      <x:c r="S9" s="54" t="str">
        <x:v>Oculus World Trade Center, New York, NY</x:v>
      </x:c>
      <x:c r="T9" s="54" t="str">
        <x:v>https://www.google.com/maps/search/?api=1&amp;query=Oculus+World+Trade+Center%2C+New+York%2C+NY</x:v>
      </x:c>
      <x:c r="U9" s="54" t="str"/>
      <x:c r="V9" s="54" t="str"/>
    </x:row>
    <x:row r="10" ht="48" customHeight="1">
      <x:c r="A10" s="45" t="str">
        <x:v>Lun 14</x:v>
      </x:c>
      <x:c r="B10" s="62" t="n">
        <x:v>46279</x:v>
      </x:c>
      <x:c r="C10" s="45" t="n">
        <x:v>2</x:v>
      </x:c>
      <x:c r="D10" s="46" t="n">
        <x:v>46279.375</x:v>
      </x:c>
      <x:c r="E10" s="46" t="n">
        <x:v>46279.4375</x:v>
      </x:c>
      <x:c r="F10" s="45" t="str">
        <x:v>Visita</x:v>
      </x:c>
      <x:c r="G10" s="54" t="str">
        <x:v>Oculus + 9/11 Memorial exterior</x:v>
      </x:c>
      <x:c r="H10" s="54" t="str">
        <x:v>Oculus, One World Trade Center desde afuera, las dos piscinas, Survivor Tree y alrededores. No incluir el museo del 9/11.</x:v>
      </x:c>
      <x:c r="I10" s="54" t="str">
        <x:v>A pie</x:v>
      </x:c>
      <x:c r="J10" s="54" t="n">
        <x:v>90</x:v>
      </x:c>
      <x:c r="K10" s="54" t="n">
        <x:v>10</x:v>
      </x:c>
      <x:c r="L10" s="54" t="n">
        <x:v>10</x:v>
      </x:c>
      <x:c r="M10" s="54" t="n">
        <x:f>IF(OR(D10="",E10=""),"",ROUND((E10-D10)*1440,0))</x:f>
        <x:v>90</x:v>
      </x:c>
      <x:c r="N10" s="54" t="str">
        <x:v>Esencial</x:v>
      </x:c>
      <x:c r="O10" s="54" t="str">
        <x:v>No</x:v>
      </x:c>
      <x:c r="P10" s="54" t="str"/>
      <x:c r="Q10" s="54" t="str">
        <x:v>No</x:v>
      </x:c>
      <x:c r="R10" s="54" t="str">
        <x:v>MEMORIAL_911</x:v>
      </x:c>
      <x:c r="S10" s="54" t="str">
        <x:v>9/11 Memorial, New York, NY</x:v>
      </x:c>
      <x:c r="T10" s="54" t="str">
        <x:v>https://www.google.com/maps/search/?api=1&amp;query=9%2F11+Memorial%2C+New+York%2C+NY</x:v>
      </x:c>
      <x:c r="U10" s="54" t="str"/>
      <x:c r="V10" s="54" t="str"/>
    </x:row>
    <x:row r="11" ht="48" customHeight="1">
      <x:c r="A11" s="45" t="str">
        <x:v>Lun 14</x:v>
      </x:c>
      <x:c r="B11" s="62" t="n">
        <x:v>46279</x:v>
      </x:c>
      <x:c r="C11" s="45" t="n">
        <x:v>3</x:v>
      </x:c>
      <x:c r="D11" s="46" t="n">
        <x:v>46279.4375</x:v>
      </x:c>
      <x:c r="E11" s="46" t="n">
        <x:v>46279.5</x:v>
      </x:c>
      <x:c r="F11" s="45" t="str">
        <x:v>Recorrido</x:v>
      </x:c>
      <x:c r="G11" s="54" t="str">
        <x:v>Financial District → Battery Park</x:v>
      </x:c>
      <x:c r="H11" s="54" t="str">
        <x:v>Trinity Church → Federal Hall → NYSE → Fearless Girl → Charging Bull → The Battery. Caminar y mirar; no convertir cada punto en visita larga.</x:v>
      </x:c>
      <x:c r="I11" s="54" t="str">
        <x:v>A pie</x:v>
      </x:c>
      <x:c r="J11" s="54" t="n">
        <x:v>90</x:v>
      </x:c>
      <x:c r="K11" s="54" t="n">
        <x:v>10</x:v>
      </x:c>
      <x:c r="L11" s="54" t="n">
        <x:v>10</x:v>
      </x:c>
      <x:c r="M11" s="54" t="n">
        <x:f>IF(OR(D11="",E11=""),"",ROUND((E11-D11)*1440,0))</x:f>
        <x:v>90</x:v>
      </x:c>
      <x:c r="N11" s="54" t="str">
        <x:v>Esencial</x:v>
      </x:c>
      <x:c r="O11" s="54" t="str">
        <x:v>No</x:v>
      </x:c>
      <x:c r="P11" s="54" t="str"/>
      <x:c r="Q11" s="54" t="str">
        <x:v>No</x:v>
      </x:c>
      <x:c r="R11" s="54" t="str">
        <x:v>BATTERY</x:v>
      </x:c>
      <x:c r="S11" s="54" t="str">
        <x:v>The Battery, New York, NY</x:v>
      </x:c>
      <x:c r="T11" s="54" t="str">
        <x:v>https://www.google.com/maps/search/?api=1&amp;query=The+Battery%2C+New+York%2C+NY</x:v>
      </x:c>
      <x:c r="U11" s="54" t="str"/>
      <x:c r="V11" s="54" t="str"/>
    </x:row>
    <x:row r="12" ht="48" customHeight="1">
      <x:c r="A12" s="45" t="str">
        <x:v>Lun 14</x:v>
      </x:c>
      <x:c r="B12" s="62" t="n">
        <x:v>46279</x:v>
      </x:c>
      <x:c r="C12" s="45" t="n">
        <x:v>4</x:v>
      </x:c>
      <x:c r="D12" s="46" t="n">
        <x:v>46279.5</x:v>
      </x:c>
      <x:c r="E12" s="46" t="n">
        <x:v>46279.552083333336</x:v>
      </x:c>
      <x:c r="F12" s="45" t="str">
        <x:v>Comida / descanso</x:v>
      </x:c>
      <x:c r="G12" s="54" t="str">
        <x:v>Almuerzo en Battery Park</x:v>
      </x:c>
      <x:c r="H12" s="54" t="str">
        <x:v>Comida para llevar o casual. Reservar 75 min: comer, baño y sentarse.</x:v>
      </x:c>
      <x:c r="I12" s="54" t="str"/>
      <x:c r="J12" s="54" t="n">
        <x:v>0</x:v>
      </x:c>
      <x:c r="K12" s="54" t="n">
        <x:v>65</x:v>
      </x:c>
      <x:c r="L12" s="54" t="n">
        <x:v>10</x:v>
      </x:c>
      <x:c r="M12" s="54" t="n">
        <x:f>IF(OR(D12="",E12=""),"",ROUND((E12-D12)*1440,0))</x:f>
        <x:v>75</x:v>
      </x:c>
      <x:c r="N12" s="54" t="str">
        <x:v>Esencial</x:v>
      </x:c>
      <x:c r="O12" s="54" t="str">
        <x:v>No</x:v>
      </x:c>
      <x:c r="P12" s="54" t="str"/>
      <x:c r="Q12" s="54" t="str">
        <x:v>No</x:v>
      </x:c>
      <x:c r="R12" s="54" t="str">
        <x:v>BATTERY</x:v>
      </x:c>
      <x:c r="S12" s="54" t="str">
        <x:v>The Battery, New York, NY</x:v>
      </x:c>
      <x:c r="T12" s="54" t="str">
        <x:v>https://www.google.com/maps/search/?api=1&amp;query=The+Battery%2C+New+York%2C+NY</x:v>
      </x:c>
      <x:c r="U12" s="54" t="str"/>
      <x:c r="V12" s="54" t="str"/>
    </x:row>
    <x:row r="13" ht="48" customHeight="1">
      <x:c r="A13" s="45" t="str">
        <x:v>Lun 14</x:v>
      </x:c>
      <x:c r="B13" s="62" t="n">
        <x:v>46279</x:v>
      </x:c>
      <x:c r="C13" s="45" t="n">
        <x:v>5</x:v>
      </x:c>
      <x:c r="D13" s="46" t="n">
        <x:v>46279.552083333336</x:v>
      </x:c>
      <x:c r="E13" s="46" t="n">
        <x:v>46279.583333333336</x:v>
      </x:c>
      <x:c r="F13" s="45" t="str">
        <x:v>Buffer / embarque</x:v>
      </x:c>
      <x:c r="G13" s="54" t="str">
        <x:v>Whitehall Ferry Terminal</x:v>
      </x:c>
      <x:c r="H13" s="54" t="str">
        <x:v>Moverse con tiempo al ferry, baño, agua y espera. Este bloque existe para no correr.</x:v>
      </x:c>
      <x:c r="I13" s="54" t="str">
        <x:v>A pie</x:v>
      </x:c>
      <x:c r="J13" s="54" t="n">
        <x:v>0</x:v>
      </x:c>
      <x:c r="K13" s="54" t="n">
        <x:v>15</x:v>
      </x:c>
      <x:c r="L13" s="54" t="n">
        <x:v>30</x:v>
      </x:c>
      <x:c r="M13" s="54" t="n">
        <x:f>IF(OR(D13="",E13=""),"",ROUND((E13-D13)*1440,0))</x:f>
        <x:v>45</x:v>
      </x:c>
      <x:c r="N13" s="54" t="str">
        <x:v>Esencial</x:v>
      </x:c>
      <x:c r="O13" s="54" t="str">
        <x:v>No</x:v>
      </x:c>
      <x:c r="P13" s="54" t="str"/>
      <x:c r="Q13" s="54" t="str">
        <x:v>No</x:v>
      </x:c>
      <x:c r="R13" s="54" t="str">
        <x:v>WHITEHALL</x:v>
      </x:c>
      <x:c r="S13" s="54" t="str">
        <x:v>Whitehall Ferry Terminal, New York, NY</x:v>
      </x:c>
      <x:c r="T13" s="54" t="str">
        <x:v>https://www.google.com/maps/search/?api=1&amp;query=Whitehall+Ferry+Terminal%2C+New+York%2C+NY</x:v>
      </x:c>
      <x:c r="U13" s="54" t="str"/>
      <x:c r="V13" s="54" t="str"/>
    </x:row>
    <x:row r="14" ht="48" customHeight="1">
      <x:c r="A14" s="45" t="str">
        <x:v>Lun 14</x:v>
      </x:c>
      <x:c r="B14" s="62" t="n">
        <x:v>46279</x:v>
      </x:c>
      <x:c r="C14" s="45" t="n">
        <x:v>6</x:v>
      </x:c>
      <x:c r="D14" s="46" t="n">
        <x:v>46279.583333333336</x:v>
      </x:c>
      <x:c r="E14" s="46" t="n">
        <x:v>46279.645833333336</x:v>
      </x:c>
      <x:c r="F14" s="45" t="str">
        <x:v>Paseo / descanso</x:v>
      </x:c>
      <x:c r="G14" s="54" t="str">
        <x:v>Staten Island Ferry ida y vuelta</x:v>
      </x:c>
      <x:c r="H14" s="54" t="str">
        <x:v>Ferry gratuito. Cada tramo ~25 min; hay que bajar y volver a ingresar en Staten Island. Buen bloque de descanso físico.</x:v>
      </x:c>
      <x:c r="I14" s="54" t="str">
        <x:v>Ferry</x:v>
      </x:c>
      <x:c r="J14" s="54" t="n">
        <x:v>90</x:v>
      </x:c>
      <x:c r="K14" s="54" t="n">
        <x:v>50</x:v>
      </x:c>
      <x:c r="L14" s="54" t="n">
        <x:v>10</x:v>
      </x:c>
      <x:c r="M14" s="54" t="n">
        <x:f>IF(OR(D14="",E14=""),"",ROUND((E14-D14)*1440,0))</x:f>
        <x:v>90</x:v>
      </x:c>
      <x:c r="N14" s="54" t="str">
        <x:v>Esencial</x:v>
      </x:c>
      <x:c r="O14" s="54" t="str">
        <x:v>No</x:v>
      </x:c>
      <x:c r="P14" s="54" t="str"/>
      <x:c r="Q14" s="54" t="str">
        <x:v>No</x:v>
      </x:c>
      <x:c r="R14" s="54" t="str">
        <x:v>ST_GEORGE</x:v>
      </x:c>
      <x:c r="S14" s="54" t="str">
        <x:v>St. George Ferry Terminal, Staten Island, NY</x:v>
      </x:c>
      <x:c r="T14" s="54" t="str">
        <x:v>https://www.google.com/maps/search/?api=1&amp;query=St.+George+Ferry+Terminal%2C+Staten+Island%2C+NY</x:v>
      </x:c>
      <x:c r="U14" s="54" t="str"/>
      <x:c r="V14" s="54" t="str"/>
    </x:row>
    <x:row r="15" ht="48" customHeight="1">
      <x:c r="A15" s="45" t="str">
        <x:v>Lun 14</x:v>
      </x:c>
      <x:c r="B15" s="62" t="n">
        <x:v>46279</x:v>
      </x:c>
      <x:c r="C15" s="45" t="n">
        <x:v>7</x:v>
      </x:c>
      <x:c r="D15" s="46" t="n">
        <x:v>46279.645833333336</x:v>
      </x:c>
      <x:c r="E15" s="46" t="n">
        <x:v>46279.666666666664</x:v>
      </x:c>
      <x:c r="F15" s="45" t="str">
        <x:v>Descanso</x:v>
      </x:c>
      <x:c r="G15" s="54" t="str">
        <x:v>Pausa post-ferry</x:v>
      </x:c>
      <x:c r="H15" s="54" t="str">
        <x:v>Baño, agua, snack y decidir energía del grupo antes del tramo opcional.</x:v>
      </x:c>
      <x:c r="I15" s="54" t="str"/>
      <x:c r="J15" s="54" t="n">
        <x:v>0</x:v>
      </x:c>
      <x:c r="K15" s="54" t="n">
        <x:v>25</x:v>
      </x:c>
      <x:c r="L15" s="54" t="n">
        <x:v>5</x:v>
      </x:c>
      <x:c r="M15" s="54" t="n">
        <x:f>IF(OR(D15="",E15=""),"",ROUND((E15-D15)*1440,0))</x:f>
        <x:v>30</x:v>
      </x:c>
      <x:c r="N15" s="54" t="str">
        <x:v>Importante</x:v>
      </x:c>
      <x:c r="O15" s="54" t="str">
        <x:v>No</x:v>
      </x:c>
      <x:c r="P15" s="54" t="str"/>
      <x:c r="Q15" s="54" t="str">
        <x:v>No</x:v>
      </x:c>
      <x:c r="R15" s="54" t="str">
        <x:v>WHITEHALL</x:v>
      </x:c>
      <x:c r="S15" s="54" t="str">
        <x:v>Whitehall Ferry Terminal, New York, NY</x:v>
      </x:c>
      <x:c r="T15" s="54" t="str">
        <x:v>https://www.google.com/maps/search/?api=1&amp;query=Whitehall+Ferry+Terminal%2C+New+York%2C+NY</x:v>
      </x:c>
      <x:c r="U15" s="54" t="str"/>
      <x:c r="V15" s="54" t="str"/>
    </x:row>
    <x:row r="16" ht="48" customHeight="1">
      <x:c r="A16" s="45" t="str">
        <x:v>Lun 14</x:v>
      </x:c>
      <x:c r="B16" s="62" t="n">
        <x:v>46279</x:v>
      </x:c>
      <x:c r="C16" s="45" t="n">
        <x:v>8</x:v>
      </x:c>
      <x:c r="D16" s="46" t="n">
        <x:v>46279.666666666664</x:v>
      </x:c>
      <x:c r="E16" s="46" t="n">
        <x:v>46279.71875</x:v>
      </x:c>
      <x:c r="F16" s="45" t="str">
        <x:v>Paseo</x:v>
      </x:c>
      <x:c r="G16" s="54" t="str">
        <x:v>South Street Seaport + Pier 17</x:v>
      </x:c>
      <x:c r="H16" s="54" t="str">
        <x:v>Tramo opcional. Hacerlo sólo si el grupo sigue cómodo; es lo primero que se recorta el lunes.</x:v>
      </x:c>
      <x:c r="I16" s="54" t="str">
        <x:v>A pie</x:v>
      </x:c>
      <x:c r="J16" s="54" t="n">
        <x:v>75</x:v>
      </x:c>
      <x:c r="K16" s="54" t="n">
        <x:v>10</x:v>
      </x:c>
      <x:c r="L16" s="54" t="n">
        <x:v>10</x:v>
      </x:c>
      <x:c r="M16" s="54" t="n">
        <x:f>IF(OR(D16="",E16=""),"",ROUND((E16-D16)*1440,0))</x:f>
        <x:v>75</x:v>
      </x:c>
      <x:c r="N16" s="54" t="str">
        <x:v>Opcional</x:v>
      </x:c>
      <x:c r="O16" s="54" t="str">
        <x:v>Sí</x:v>
      </x:c>
      <x:c r="P16" s="54" t="str">
        <x:v>1</x:v>
      </x:c>
      <x:c r="Q16" s="54" t="str">
        <x:v>No</x:v>
      </x:c>
      <x:c r="R16" s="54" t="str">
        <x:v>PIER17</x:v>
      </x:c>
      <x:c r="S16" s="54" t="str">
        <x:v>Pier 17, New York, NY</x:v>
      </x:c>
      <x:c r="T16" s="54" t="str">
        <x:v>https://www.google.com/maps/search/?api=1&amp;query=Pier+17%2C+New+York%2C+NY</x:v>
      </x:c>
      <x:c r="U16" s="54" t="str"/>
      <x:c r="V16" s="54" t="str"/>
    </x:row>
    <x:row r="17" ht="48" customHeight="1">
      <x:c r="A17" s="45" t="str">
        <x:v>Lun 14</x:v>
      </x:c>
      <x:c r="B17" s="62" t="n">
        <x:v>46279</x:v>
      </x:c>
      <x:c r="C17" s="45" t="n">
        <x:v>9</x:v>
      </x:c>
      <x:c r="D17" s="46" t="n">
        <x:v>46279.71875</x:v>
      </x:c>
      <x:c r="E17" s="46" t="n">
        <x:v>46279.75</x:v>
      </x:c>
      <x:c r="F17" s="45" t="str">
        <x:v>Traslado</x:v>
      </x:c>
      <x:c r="G17" s="54" t="str">
        <x:v>Regreso a Chelsea</x:v>
      </x:c>
      <x:c r="H17" s="54" t="str">
        <x:v>Metro desde Downtown. Si se omitió Seaport, este regreso puede comenzar antes.</x:v>
      </x:c>
      <x:c r="I17" s="54" t="str">
        <x:v>Metro</x:v>
      </x:c>
      <x:c r="J17" s="54" t="n">
        <x:v>0</x:v>
      </x:c>
      <x:c r="K17" s="54" t="n">
        <x:v>20</x:v>
      </x:c>
      <x:c r="L17" s="54" t="n">
        <x:v>10</x:v>
      </x:c>
      <x:c r="M17" s="54" t="n">
        <x:f>IF(OR(D17="",E17=""),"",ROUND((E17-D17)*1440,0))</x:f>
        <x:v>45</x:v>
      </x:c>
      <x:c r="N17" s="54" t="str">
        <x:v>Importante</x:v>
      </x:c>
      <x:c r="O17" s="54" t="str">
        <x:v>No</x:v>
      </x:c>
      <x:c r="P17" s="54" t="str"/>
      <x:c r="Q17" s="54" t="str">
        <x:v>No</x:v>
      </x:c>
      <x:c r="R17" s="54" t="str">
        <x:v>CHELSEA_BASE</x:v>
      </x:c>
      <x:c r="S17" s="54" t="str">
        <x:v>8th Avenue &amp; West 18th Street, New York, NY</x:v>
      </x:c>
      <x:c r="T17" s="54" t="str">
        <x:v>https://www.google.com/maps/search/?api=1&amp;query=8th+Avenue+%26+West+18th+Street%2C+New+York%2C+NY</x:v>
      </x:c>
      <x:c r="U17" s="54" t="str"/>
      <x:c r="V17" s="54" t="str"/>
    </x:row>
    <x:row r="18" ht="48" customHeight="1">
      <x:c r="A18" s="45" t="str">
        <x:v>Lun 14</x:v>
      </x:c>
      <x:c r="B18" s="62" t="n">
        <x:v>46279</x:v>
      </x:c>
      <x:c r="C18" s="45" t="n">
        <x:v>10</x:v>
      </x:c>
      <x:c r="D18" s="46" t="n">
        <x:v>46279.75</x:v>
      </x:c>
      <x:c r="E18" s="46" t="n">
        <x:v>46279.8125</x:v>
      </x:c>
      <x:c r="F18" s="45" t="str">
        <x:v>Cena / descanso</x:v>
      </x:c>
      <x:c r="G18" s="54" t="str">
        <x:v>Cena cerca del departamento</x:v>
      </x:c>
      <x:c r="H18" s="54" t="str">
        <x:v>Cena sin apuro. Si alguien quiere comprar algo, usar esta zona de Chelsea y el margen posterior.</x:v>
      </x:c>
      <x:c r="I18" s="54" t="str"/>
      <x:c r="J18" s="54" t="n">
        <x:v>0</x:v>
      </x:c>
      <x:c r="K18" s="54" t="n">
        <x:v>75</x:v>
      </x:c>
      <x:c r="L18" s="54" t="n">
        <x:v>15</x:v>
      </x:c>
      <x:c r="M18" s="54" t="n">
        <x:f>IF(OR(D18="",E18=""),"",ROUND((E18-D18)*1440,0))</x:f>
        <x:v>90</x:v>
      </x:c>
      <x:c r="N18" s="54" t="str">
        <x:v>Esencial</x:v>
      </x:c>
      <x:c r="O18" s="54" t="str">
        <x:v>No</x:v>
      </x:c>
      <x:c r="P18" s="54" t="str"/>
      <x:c r="Q18" s="54" t="str">
        <x:v>No</x:v>
      </x:c>
      <x:c r="R18" s="54" t="str">
        <x:v>CHELSEA_BASE</x:v>
      </x:c>
      <x:c r="S18" s="54" t="str">
        <x:v>8th Avenue &amp; West 18th Street, New York, NY</x:v>
      </x:c>
      <x:c r="T18" s="54" t="str">
        <x:v>https://www.google.com/maps/search/?api=1&amp;query=8th+Avenue+%26+West+18th+Street%2C+New+York%2C+NY</x:v>
      </x:c>
      <x:c r="U18" s="54" t="str"/>
      <x:c r="V18" s="54" t="str"/>
    </x:row>
    <x:row r="19" ht="48" customHeight="1">
      <x:c r="A19" s="45" t="str">
        <x:v>Lun 14</x:v>
      </x:c>
      <x:c r="B19" s="62" t="n">
        <x:v>46279</x:v>
      </x:c>
      <x:c r="C19" s="45" t="n">
        <x:v>11</x:v>
      </x:c>
      <x:c r="D19" s="46" t="n">
        <x:v>46279.8125</x:v>
      </x:c>
      <x:c r="E19" s="46" t="n">
        <x:v>46279.854166666664</x:v>
      </x:c>
      <x:c r="F19" s="45" t="str">
        <x:v>Tiempo libre</x:v>
      </x:c>
      <x:c r="G19" s="54" t="str">
        <x:v>Buffer de compras / imprevistos</x:v>
      </x:c>
      <x:c r="H19" s="54" t="str">
        <x:v>Hora deliberadamente sin destino: farmacia, supermercado, compras chicas, volver al depto o simplemente descansar.</x:v>
      </x:c>
      <x:c r="I19" s="54" t="str"/>
      <x:c r="J19" s="54" t="n">
        <x:v>0</x:v>
      </x:c>
      <x:c r="K19" s="54" t="n">
        <x:v>30</x:v>
      </x:c>
      <x:c r="L19" s="54" t="n">
        <x:v>60</x:v>
      </x:c>
      <x:c r="M19" s="54" t="n">
        <x:f>IF(OR(D19="",E19=""),"",ROUND((E19-D19)*1440,0))</x:f>
        <x:v>60</x:v>
      </x:c>
      <x:c r="N19" s="54" t="str">
        <x:v>Importante</x:v>
      </x:c>
      <x:c r="O19" s="54" t="str">
        <x:v>Sí</x:v>
      </x:c>
      <x:c r="P19" s="54" t="str"/>
      <x:c r="Q19" s="54" t="str">
        <x:v>No</x:v>
      </x:c>
      <x:c r="R19" s="54" t="str"/>
      <x:c r="S19" s="54" t="str"/>
      <x:c r="T19" s="54" t="str"/>
      <x:c r="U19" s="54" t="str"/>
      <x:c r="V19" s="54" t="str">
        <x:v>No agregar atracción salvo que el grupo espontáneamente quiera seguir.</x:v>
      </x:c>
    </x:row>
    <x:row r="20" ht="48" customHeight="1">
      <x:c r="A20" s="45" t="str">
        <x:v>Mar 15</x:v>
      </x:c>
      <x:c r="B20" s="62" t="n">
        <x:v>46280</x:v>
      </x:c>
      <x:c r="C20" s="45" t="n">
        <x:v>1</x:v>
      </x:c>
      <x:c r="D20" s="46" t="n">
        <x:v>46280.354166666664</x:v>
      </x:c>
      <x:c r="E20" s="46" t="n">
        <x:v>46280.385416666664</x:v>
      </x:c>
      <x:c r="F20" s="45" t="str">
        <x:v>Traslado</x:v>
      </x:c>
      <x:c r="G20" s="54" t="str">
        <x:v>Chelsea → Columbus Circle</x:v>
      </x:c>
      <x:c r="H20" s="54" t="str">
        <x:v>Metro hacia Columbus Circle. Llegar sin correr; el parque se recorre de oeste a este y termina junto al Met.</x:v>
      </x:c>
      <x:c r="I20" s="54" t="str">
        <x:v>Metro</x:v>
      </x:c>
      <x:c r="J20" s="54" t="n">
        <x:v>0</x:v>
      </x:c>
      <x:c r="K20" s="54" t="n">
        <x:v>20</x:v>
      </x:c>
      <x:c r="L20" s="54" t="n">
        <x:v>10</x:v>
      </x:c>
      <x:c r="M20" s="54" t="n">
        <x:f>IF(OR(D20="",E20=""),"",ROUND((E20-D20)*1440,0))</x:f>
        <x:v>45</x:v>
      </x:c>
      <x:c r="N20" s="54" t="str">
        <x:v>Esencial</x:v>
      </x:c>
      <x:c r="O20" s="54" t="str">
        <x:v>No</x:v>
      </x:c>
      <x:c r="P20" s="54" t="str"/>
      <x:c r="Q20" s="54" t="str">
        <x:v>No</x:v>
      </x:c>
      <x:c r="R20" s="54" t="str">
        <x:v>COLUMBUS</x:v>
      </x:c>
      <x:c r="S20" s="54" t="str">
        <x:v>Columbus Circle, New York, NY</x:v>
      </x:c>
      <x:c r="T20" s="54" t="str">
        <x:v>https://www.google.com/maps/search/?api=1&amp;query=Columbus+Circle%2C+New+York%2C+NY</x:v>
      </x:c>
      <x:c r="U20" s="54" t="str"/>
      <x:c r="V20" s="54" t="str"/>
    </x:row>
    <x:row r="21" ht="48" customHeight="1">
      <x:c r="A21" s="45" t="str">
        <x:v>Mar 15</x:v>
      </x:c>
      <x:c r="B21" s="62" t="n">
        <x:v>46280</x:v>
      </x:c>
      <x:c r="C21" s="45" t="n">
        <x:v>2</x:v>
      </x:c>
      <x:c r="D21" s="46" t="n">
        <x:v>46280.385416666664</x:v>
      </x:c>
      <x:c r="E21" s="46" t="n">
        <x:v>46280.489583333336</x:v>
      </x:c>
      <x:c r="F21" s="45" t="str">
        <x:v>Recorrido</x:v>
      </x:c>
      <x:c r="G21" s="54" t="str">
        <x:v>Central Park clásico</x:v>
      </x:c>
      <x:c r="H21" s="54" t="str">
        <x:v>Columbus Circle → Sheep Meadow → The Mall → Bethesda Terrace/Fountain → Bow Bridge → Conservatory Water → The Met. No conocer todo el parque.</x:v>
      </x:c>
      <x:c r="I21" s="54" t="str">
        <x:v>A pie</x:v>
      </x:c>
      <x:c r="J21" s="54" t="n">
        <x:v>150</x:v>
      </x:c>
      <x:c r="K21" s="54" t="n">
        <x:v>20</x:v>
      </x:c>
      <x:c r="L21" s="54" t="n">
        <x:v>15</x:v>
      </x:c>
      <x:c r="M21" s="54" t="n">
        <x:f>IF(OR(D21="",E21=""),"",ROUND((E21-D21)*1440,0))</x:f>
        <x:v>150</x:v>
      </x:c>
      <x:c r="N21" s="54" t="str">
        <x:v>Esencial</x:v>
      </x:c>
      <x:c r="O21" s="54" t="str">
        <x:v>No</x:v>
      </x:c>
      <x:c r="P21" s="54" t="str"/>
      <x:c r="Q21" s="54" t="str">
        <x:v>No</x:v>
      </x:c>
      <x:c r="R21" s="54" t="str">
        <x:v>THE_MET</x:v>
      </x:c>
      <x:c r="S21" s="54" t="str">
        <x:v>The Metropolitan Museum of Art, New York, NY</x:v>
      </x:c>
      <x:c r="T21" s="54" t="str">
        <x:v>https://www.google.com/maps/search/?api=1&amp;query=The+Metropolitan+Museum+of+Art%2C+New+York%2C+NY</x:v>
      </x:c>
      <x:c r="U21" s="54" t="str"/>
      <x:c r="V21" s="54" t="str"/>
    </x:row>
    <x:row r="22" ht="48" customHeight="1">
      <x:c r="A22" s="45" t="str">
        <x:v>Mar 15</x:v>
      </x:c>
      <x:c r="B22" s="62" t="n">
        <x:v>46280</x:v>
      </x:c>
      <x:c r="C22" s="45" t="n">
        <x:v>3</x:v>
      </x:c>
      <x:c r="D22" s="46" t="n">
        <x:v>46280.489583333336</x:v>
      </x:c>
      <x:c r="E22" s="46" t="n">
        <x:v>46280.510416666664</x:v>
      </x:c>
      <x:c r="F22" s="45" t="str">
        <x:v>Descanso</x:v>
      </x:c>
      <x:c r="G22" s="54" t="str">
        <x:v>Snack + baño antes del museo</x:v>
      </x:c>
      <x:c r="H22" s="54" t="str">
        <x:v>Pausa obligatoria de 30 min para bajar el ritmo con las chicas antes de entrar.</x:v>
      </x:c>
      <x:c r="I22" s="54" t="str"/>
      <x:c r="J22" s="54" t="n">
        <x:v>0</x:v>
      </x:c>
      <x:c r="K22" s="54" t="n">
        <x:v>30</x:v>
      </x:c>
      <x:c r="L22" s="54" t="n">
        <x:v>0</x:v>
      </x:c>
      <x:c r="M22" s="54" t="n">
        <x:f>IF(OR(D22="",E22=""),"",ROUND((E22-D22)*1440,0))</x:f>
        <x:v>30</x:v>
      </x:c>
      <x:c r="N22" s="54" t="str">
        <x:v>Esencial</x:v>
      </x:c>
      <x:c r="O22" s="54" t="str">
        <x:v>No</x:v>
      </x:c>
      <x:c r="P22" s="54" t="str"/>
      <x:c r="Q22" s="54" t="str">
        <x:v>No</x:v>
      </x:c>
      <x:c r="R22" s="54" t="str">
        <x:v>THE_MET</x:v>
      </x:c>
      <x:c r="S22" s="54" t="str">
        <x:v>The Metropolitan Museum of Art, New York, NY</x:v>
      </x:c>
      <x:c r="T22" s="54" t="str">
        <x:v>https://www.google.com/maps/search/?api=1&amp;query=The+Metropolitan+Museum+of+Art%2C+New+York%2C+NY</x:v>
      </x:c>
      <x:c r="U22" s="54" t="str"/>
      <x:c r="V22" s="54" t="str"/>
    </x:row>
    <x:row r="23" ht="48" customHeight="1">
      <x:c r="A23" s="45" t="str">
        <x:v>Mar 15</x:v>
      </x:c>
      <x:c r="B23" s="62" t="n">
        <x:v>46280</x:v>
      </x:c>
      <x:c r="C23" s="45" t="n">
        <x:v>4</x:v>
      </x:c>
      <x:c r="D23" s="46" t="n">
        <x:v>46280.510416666664</x:v>
      </x:c>
      <x:c r="E23" s="46" t="n">
        <x:v>46280.583333333336</x:v>
      </x:c>
      <x:c r="F23" s="45" t="str">
        <x:v>Museo</x:v>
      </x:c>
      <x:c r="G23" s="54" t="str">
        <x:v>The Met — recorrido selectivo</x:v>
      </x:c>
      <x:c r="H23" s="54" t="str">
        <x:v>Máximo práctico 1 h 45; techo absoluto 2 h. Priorizar Egipto, Temple of Dendur y Arms &amp; Armor; cuarta zona sólo si todos están enganchados.</x:v>
      </x:c>
      <x:c r="I23" s="54" t="str"/>
      <x:c r="J23" s="54" t="n">
        <x:v>105</x:v>
      </x:c>
      <x:c r="K23" s="54" t="n">
        <x:v>10</x:v>
      </x:c>
      <x:c r="L23" s="54" t="n">
        <x:v>10</x:v>
      </x:c>
      <x:c r="M23" s="54" t="n">
        <x:f>IF(OR(D23="",E23=""),"",ROUND((E23-D23)*1440,0))</x:f>
        <x:v>105</x:v>
      </x:c>
      <x:c r="N23" s="54" t="str">
        <x:v>Esencial</x:v>
      </x:c>
      <x:c r="O23" s="54" t="str">
        <x:v>No</x:v>
      </x:c>
      <x:c r="P23" s="54" t="str"/>
      <x:c r="Q23" s="54" t="str">
        <x:v>No</x:v>
      </x:c>
      <x:c r="R23" s="54" t="str">
        <x:v>THE_MET</x:v>
      </x:c>
      <x:c r="S23" s="54" t="str">
        <x:v>The Metropolitan Museum of Art, 1000 5th Ave, New York, NY</x:v>
      </x:c>
      <x:c r="T23" s="54" t="str">
        <x:v>https://www.google.com/maps/search/?api=1&amp;query=The+Metropolitan+Museum+of+Art%2C+1000+5th+Ave%2C+New+York%2C+NY</x:v>
      </x:c>
      <x:c r="U23" s="54" t="str"/>
      <x:c r="V23" s="54" t="str">
        <x:v>Cambio vs PDF: ya no se planifican 3 horas.</x:v>
      </x:c>
    </x:row>
    <x:row r="24" ht="48" customHeight="1">
      <x:c r="A24" s="45" t="str">
        <x:v>Mar 15</x:v>
      </x:c>
      <x:c r="B24" s="62" t="n">
        <x:v>46280</x:v>
      </x:c>
      <x:c r="C24" s="45" t="n">
        <x:v>5</x:v>
      </x:c>
      <x:c r="D24" s="46" t="n">
        <x:v>46280.583333333336</x:v>
      </x:c>
      <x:c r="E24" s="46" t="n">
        <x:v>46280.604166666664</x:v>
      </x:c>
      <x:c r="F24" s="45" t="str">
        <x:v>Traslado / descanso</x:v>
      </x:c>
      <x:c r="G24" s="54" t="str">
        <x:v>The Met → 59th St por Fifth/Madison</x:v>
      </x:c>
      <x:c r="H24" s="54" t="str">
        <x:v>Hacer en bus, no caminando. Sirve como descanso y permite ver Fifth Avenue desde superficie sin cargar las piernas.</x:v>
      </x:c>
      <x:c r="I24" s="54" t="str">
        <x:v>Bus</x:v>
      </x:c>
      <x:c r="J24" s="54" t="n">
        <x:v>0</x:v>
      </x:c>
      <x:c r="K24" s="54" t="n">
        <x:v>20</x:v>
      </x:c>
      <x:c r="L24" s="54" t="n">
        <x:v>10</x:v>
      </x:c>
      <x:c r="M24" s="54" t="n">
        <x:f>IF(OR(D24="",E24=""),"",ROUND((E24-D24)*1440,0))</x:f>
        <x:v>30</x:v>
      </x:c>
      <x:c r="N24" s="54" t="str">
        <x:v>Esencial</x:v>
      </x:c>
      <x:c r="O24" s="54" t="str">
        <x:v>No</x:v>
      </x:c>
      <x:c r="P24" s="54" t="str"/>
      <x:c r="Q24" s="54" t="str">
        <x:v>No</x:v>
      </x:c>
      <x:c r="R24" s="54" t="str">
        <x:v>THE_PLAZA</x:v>
      </x:c>
      <x:c r="S24" s="54" t="str">
        <x:v>The Plaza Hotel, New York, NY</x:v>
      </x:c>
      <x:c r="T24" s="54" t="str">
        <x:v>https://www.google.com/maps/search/?api=1&amp;query=The+Plaza+Hotel%2C+New+York%2C+NY</x:v>
      </x:c>
      <x:c r="U24" s="54" t="str"/>
      <x:c r="V24" s="54" t="str"/>
    </x:row>
    <x:row r="25" ht="48" customHeight="1">
      <x:c r="A25" s="45" t="str">
        <x:v>Mar 15</x:v>
      </x:c>
      <x:c r="B25" s="62" t="n">
        <x:v>46280</x:v>
      </x:c>
      <x:c r="C25" s="45" t="n">
        <x:v>6</x:v>
      </x:c>
      <x:c r="D25" s="46" t="n">
        <x:v>46280.604166666664</x:v>
      </x:c>
      <x:c r="E25" s="46" t="n">
        <x:v>46280.645833333336</x:v>
      </x:c>
      <x:c r="F25" s="45" t="str">
        <x:v>Experiencia nueva</x:v>
      </x:c>
      <x:c r="G25" s="54" t="str">
        <x:v>Roosevelt Island Tram — ida y vuelta</x:v>
      </x:c>
      <x:c r="H25" s="54" t="str">
        <x:v>Desde 59th caminar al tram, cruzar, breve mirada de la isla y volver. Experiencia distinta, compacta y entretenida; no quedarse mucho tiempo en la isla.</x:v>
      </x:c>
      <x:c r="I25" s="54" t="str">
        <x:v>A pie + Tram</x:v>
      </x:c>
      <x:c r="J25" s="54" t="n">
        <x:v>60</x:v>
      </x:c>
      <x:c r="K25" s="54" t="n">
        <x:v>15</x:v>
      </x:c>
      <x:c r="L25" s="54" t="n">
        <x:v>10</x:v>
      </x:c>
      <x:c r="M25" s="54" t="n">
        <x:f>IF(OR(D25="",E25=""),"",ROUND((E25-D25)*1440,0))</x:f>
        <x:v>60</x:v>
      </x:c>
      <x:c r="N25" s="54" t="str">
        <x:v>Importante</x:v>
      </x:c>
      <x:c r="O25" s="54" t="str">
        <x:v>No</x:v>
      </x:c>
      <x:c r="P25" s="54" t="str"/>
      <x:c r="Q25" s="54" t="str">
        <x:v>Sí</x:v>
      </x:c>
      <x:c r="R25" s="54" t="str">
        <x:v>ROOSEVELT_TRAM_MH</x:v>
      </x:c>
      <x:c r="S25" s="54" t="str">
        <x:v>Roosevelt Island Tramway Manhattan Station, New York, NY</x:v>
      </x:c>
      <x:c r="T25" s="54" t="str">
        <x:v>https://www.google.com/maps/search/?api=1&amp;query=Roosevelt+Island+Tramway+Manhattan+Station%2C+New+York%2C+NY</x:v>
      </x:c>
      <x:c r="U25" s="54" t="str"/>
      <x:c r="V25" s="54" t="str"/>
    </x:row>
    <x:row r="26" ht="48" customHeight="1">
      <x:c r="A26" s="45" t="str">
        <x:v>Mar 15</x:v>
      </x:c>
      <x:c r="B26" s="62" t="n">
        <x:v>46280</x:v>
      </x:c>
      <x:c r="C26" s="45" t="n">
        <x:v>7</x:v>
      </x:c>
      <x:c r="D26" s="46" t="n">
        <x:v>46280.645833333336</x:v>
      </x:c>
      <x:c r="E26" s="46" t="n">
        <x:v>46280.65625</x:v>
      </x:c>
      <x:c r="F26" s="45" t="str">
        <x:v>Transición</x:v>
      </x:c>
      <x:c r="G26" s="54" t="str">
        <x:v>Tram → The Plaza</x:v>
      </x:c>
      <x:c r="H26" s="54" t="str">
        <x:v>Volver hacia Fifth Avenue. Mantener este tramo simple; si el tram tuvo espera, el bloque absorbe parte del atraso.</x:v>
      </x:c>
      <x:c r="I26" s="54" t="str">
        <x:v>A pie</x:v>
      </x:c>
      <x:c r="J26" s="54" t="n">
        <x:v>0</x:v>
      </x:c>
      <x:c r="K26" s="54" t="n">
        <x:v>0</x:v>
      </x:c>
      <x:c r="L26" s="54" t="n">
        <x:v>5</x:v>
      </x:c>
      <x:c r="M26" s="54" t="n">
        <x:f>IF(OR(D26="",E26=""),"",ROUND((E26-D26)*1440,0))</x:f>
        <x:v>15</x:v>
      </x:c>
      <x:c r="N26" s="54" t="str">
        <x:v>Importante</x:v>
      </x:c>
      <x:c r="O26" s="54" t="str">
        <x:v>No</x:v>
      </x:c>
      <x:c r="P26" s="54" t="str"/>
      <x:c r="Q26" s="54" t="str">
        <x:v>No</x:v>
      </x:c>
      <x:c r="R26" s="54" t="str">
        <x:v>THE_PLAZA</x:v>
      </x:c>
      <x:c r="S26" s="54" t="str">
        <x:v>The Plaza Hotel, New York, NY</x:v>
      </x:c>
      <x:c r="T26" s="54" t="str">
        <x:v>https://www.google.com/maps/search/?api=1&amp;query=The+Plaza+Hotel%2C+New+York%2C+NY</x:v>
      </x:c>
      <x:c r="U26" s="54" t="str"/>
      <x:c r="V26" s="54" t="str"/>
    </x:row>
    <x:row r="27" ht="48" customHeight="1">
      <x:c r="A27" s="45" t="str">
        <x:v>Mar 15</x:v>
      </x:c>
      <x:c r="B27" s="62" t="n">
        <x:v>46280</x:v>
      </x:c>
      <x:c r="C27" s="45" t="n">
        <x:v>8</x:v>
      </x:c>
      <x:c r="D27" s="46" t="n">
        <x:v>46280.65625</x:v>
      </x:c>
      <x:c r="E27" s="46" t="n">
        <x:v>46280.71875</x:v>
      </x:c>
      <x:c r="F27" s="45" t="str">
        <x:v>Recorrido + microparadas</x:v>
      </x:c>
      <x:c r="G27" s="54" t="str">
        <x:v>Fifth Avenue → Paley Park → St. Patrick's → Rockefeller → FAO → Radio City</x:v>
      </x:c>
      <x:c r="H27" s="54" t="str">
        <x:v>Recorrido compacto. Paley Park = pausa breve; FAO = opcional para la nena. Dejar espacio para entrar a una tienda si pinta, no convertirlo en una lista de checks.</x:v>
      </x:c>
      <x:c r="I27" s="54" t="str">
        <x:v>A pie</x:v>
      </x:c>
      <x:c r="J27" s="54" t="n">
        <x:v>90</x:v>
      </x:c>
      <x:c r="K27" s="54" t="n">
        <x:v>15</x:v>
      </x:c>
      <x:c r="L27" s="54" t="n">
        <x:v>20</x:v>
      </x:c>
      <x:c r="M27" s="54" t="n">
        <x:f>IF(OR(D27="",E27=""),"",ROUND((E27-D27)*1440,0))</x:f>
        <x:v>90</x:v>
      </x:c>
      <x:c r="N27" s="54" t="str">
        <x:v>Esencial</x:v>
      </x:c>
      <x:c r="O27" s="54" t="str">
        <x:v>No</x:v>
      </x:c>
      <x:c r="P27" s="54" t="str"/>
      <x:c r="Q27" s="54" t="str">
        <x:v>Sí</x:v>
      </x:c>
      <x:c r="R27" s="54" t="str">
        <x:v>RADIO_CITY</x:v>
      </x:c>
      <x:c r="S27" s="54" t="str">
        <x:v>Radio City Music Hall, New York, NY</x:v>
      </x:c>
      <x:c r="T27" s="54" t="str">
        <x:v>https://www.google.com/maps/search/?api=1&amp;query=Radio+City+Music+Hall%2C+New+York%2C+NY</x:v>
      </x:c>
      <x:c r="U27" s="54" t="str"/>
      <x:c r="V27" s="54" t="str"/>
    </x:row>
    <x:row r="28" ht="48" customHeight="1">
      <x:c r="A28" s="45" t="str">
        <x:v>Mar 15</x:v>
      </x:c>
      <x:c r="B28" s="62" t="n">
        <x:v>46280</x:v>
      </x:c>
      <x:c r="C28" s="45" t="n">
        <x:v>9</x:v>
      </x:c>
      <x:c r="D28" s="46" t="n">
        <x:v>46280.71875</x:v>
      </x:c>
      <x:c r="E28" s="46" t="n">
        <x:v>46280.770833333336</x:v>
      </x:c>
      <x:c r="F28" s="45" t="str">
        <x:v>Cena / descanso</x:v>
      </x:c>
      <x:c r="G28" s="54" t="str">
        <x:v>Cena temprana + sentarse</x:v>
      </x:c>
      <x:c r="H28" s="54" t="str">
        <x:v>Reservar 75 min reales. Si quieren comprar algo por Midtown, parte de este bloque puede correrse sin afectar Times Square.</x:v>
      </x:c>
      <x:c r="I28" s="54" t="str"/>
      <x:c r="J28" s="54" t="n">
        <x:v>0</x:v>
      </x:c>
      <x:c r="K28" s="54" t="n">
        <x:v>65</x:v>
      </x:c>
      <x:c r="L28" s="54" t="n">
        <x:v>10</x:v>
      </x:c>
      <x:c r="M28" s="54" t="n">
        <x:f>IF(OR(D28="",E28=""),"",ROUND((E28-D28)*1440,0))</x:f>
        <x:v>75</x:v>
      </x:c>
      <x:c r="N28" s="54" t="str">
        <x:v>Esencial</x:v>
      </x:c>
      <x:c r="O28" s="54" t="str">
        <x:v>No</x:v>
      </x:c>
      <x:c r="P28" s="54" t="str"/>
      <x:c r="Q28" s="54" t="str">
        <x:v>No</x:v>
      </x:c>
      <x:c r="R28" s="54" t="str">
        <x:v>ROCKEFELLER</x:v>
      </x:c>
      <x:c r="S28" s="54" t="str">
        <x:v>Rockefeller Center, New York, NY</x:v>
      </x:c>
      <x:c r="T28" s="54" t="str">
        <x:v>https://www.google.com/maps/search/?api=1&amp;query=Rockefeller+Center%2C+New+York%2C+NY</x:v>
      </x:c>
      <x:c r="U28" s="54" t="str"/>
      <x:c r="V28" s="54" t="str"/>
    </x:row>
    <x:row r="29" ht="48" customHeight="1">
      <x:c r="A29" s="45" t="str">
        <x:v>Mar 15</x:v>
      </x:c>
      <x:c r="B29" s="62" t="n">
        <x:v>46280</x:v>
      </x:c>
      <x:c r="C29" s="45" t="n">
        <x:v>10</x:v>
      </x:c>
      <x:c r="D29" s="46" t="n">
        <x:v>46280.770833333336</x:v>
      </x:c>
      <x:c r="E29" s="46" t="n">
        <x:v>46280.802083333336</x:v>
      </x:c>
      <x:c r="F29" s="45" t="str">
        <x:v>Tiempo libre</x:v>
      </x:c>
      <x:c r="G29" s="54" t="str">
        <x:v>Compras / café / imprevistos</x:v>
      </x:c>
      <x:c r="H29" s="54" t="str">
        <x:v>Bloque intencionalmente sin destino. Si The Met duró menos o el tram fue rápido, el tiempo extra se acumula acá; primero descanso/compras, no otra atracción.</x:v>
      </x:c>
      <x:c r="I29" s="54" t="str"/>
      <x:c r="J29" s="54" t="n">
        <x:v>0</x:v>
      </x:c>
      <x:c r="K29" s="54" t="n">
        <x:v>20</x:v>
      </x:c>
      <x:c r="L29" s="54" t="n">
        <x:v>45</x:v>
      </x:c>
      <x:c r="M29" s="54" t="n">
        <x:f>IF(OR(D29="",E29=""),"",ROUND((E29-D29)*1440,0))</x:f>
        <x:v>45</x:v>
      </x:c>
      <x:c r="N29" s="54" t="str">
        <x:v>Importante</x:v>
      </x:c>
      <x:c r="O29" s="54" t="str">
        <x:v>Sí</x:v>
      </x:c>
      <x:c r="P29" s="54" t="str"/>
      <x:c r="Q29" s="54" t="str">
        <x:v>No</x:v>
      </x:c>
      <x:c r="R29" s="54" t="str"/>
      <x:c r="S29" s="54" t="str"/>
      <x:c r="T29" s="54" t="str"/>
      <x:c r="U29" s="54" t="str"/>
      <x:c r="V29" s="54" t="str">
        <x:v>Sólo pensar en sumar algo si aún quedan &gt;45 min limpios.</x:v>
      </x:c>
    </x:row>
    <x:row r="30" ht="48" customHeight="1">
      <x:c r="A30" s="45" t="str">
        <x:v>Mar 15</x:v>
      </x:c>
      <x:c r="B30" s="62" t="n">
        <x:v>46280</x:v>
      </x:c>
      <x:c r="C30" s="45" t="n">
        <x:v>11</x:v>
      </x:c>
      <x:c r="D30" s="46" t="n">
        <x:v>46280.802083333336</x:v>
      </x:c>
      <x:c r="E30" s="46" t="n">
        <x:v>46280.8125</x:v>
      </x:c>
      <x:c r="F30" s="45" t="str">
        <x:v>Traslado a pie</x:v>
      </x:c>
      <x:c r="G30" s="54" t="str">
        <x:v>Midtown → Times Square</x:v>
      </x:c>
      <x:c r="H30" s="54" t="str">
        <x:v>Caminar hacia Times Square con las pantallas ya encendidas.</x:v>
      </x:c>
      <x:c r="I30" s="54" t="str">
        <x:v>A pie</x:v>
      </x:c>
      <x:c r="J30" s="54" t="n">
        <x:v>0</x:v>
      </x:c>
      <x:c r="K30" s="54" t="n">
        <x:v>0</x:v>
      </x:c>
      <x:c r="L30" s="54" t="n">
        <x:v>0</x:v>
      </x:c>
      <x:c r="M30" s="54" t="n">
        <x:f>IF(OR(D30="",E30=""),"",ROUND((E30-D30)*1440,0))</x:f>
        <x:v>15</x:v>
      </x:c>
      <x:c r="N30" s="54" t="str">
        <x:v>Importante</x:v>
      </x:c>
      <x:c r="O30" s="54" t="str">
        <x:v>No</x:v>
      </x:c>
      <x:c r="P30" s="54" t="str"/>
      <x:c r="Q30" s="54" t="str">
        <x:v>No</x:v>
      </x:c>
      <x:c r="R30" s="54" t="str">
        <x:v>TIMES_SQUARE</x:v>
      </x:c>
      <x:c r="S30" s="54" t="str">
        <x:v>Times Square, New York, NY</x:v>
      </x:c>
      <x:c r="T30" s="54" t="str">
        <x:v>https://www.google.com/maps/search/?api=1&amp;query=Times+Square%2C+New+York%2C+NY</x:v>
      </x:c>
      <x:c r="U30" s="54" t="str"/>
      <x:c r="V30" s="54" t="str"/>
    </x:row>
    <x:row r="31" ht="48" customHeight="1">
      <x:c r="A31" s="45" t="str">
        <x:v>Mar 15</x:v>
      </x:c>
      <x:c r="B31" s="62" t="n">
        <x:v>46280</x:v>
      </x:c>
      <x:c r="C31" s="45" t="n">
        <x:v>12</x:v>
      </x:c>
      <x:c r="D31" s="46" t="n">
        <x:v>46280.8125</x:v>
      </x:c>
      <x:c r="E31" s="46" t="n">
        <x:v>46280.854166666664</x:v>
      </x:c>
      <x:c r="F31" s="45" t="str">
        <x:v>Paseo</x:v>
      </x:c>
      <x:c r="G31" s="54" t="str">
        <x:v>Times Square</x:v>
      </x:c>
      <x:c r="H31" s="54" t="str">
        <x:v>45–60 min alcanzan. Broadway/Seventh Ave, TKTS, cruce principal y alguna tienda. No reservarle una noche completa.</x:v>
      </x:c>
      <x:c r="I31" s="54" t="str"/>
      <x:c r="J31" s="54" t="n">
        <x:v>60</x:v>
      </x:c>
      <x:c r="K31" s="54" t="n">
        <x:v>5</x:v>
      </x:c>
      <x:c r="L31" s="54" t="n">
        <x:v>10</x:v>
      </x:c>
      <x:c r="M31" s="54" t="n">
        <x:f>IF(OR(D31="",E31=""),"",ROUND((E31-D31)*1440,0))</x:f>
        <x:v>60</x:v>
      </x:c>
      <x:c r="N31" s="54" t="str">
        <x:v>Esencial</x:v>
      </x:c>
      <x:c r="O31" s="54" t="str">
        <x:v>No</x:v>
      </x:c>
      <x:c r="P31" s="54" t="str"/>
      <x:c r="Q31" s="54" t="str">
        <x:v>No</x:v>
      </x:c>
      <x:c r="R31" s="54" t="str">
        <x:v>TIMES_SQUARE</x:v>
      </x:c>
      <x:c r="S31" s="54" t="str">
        <x:v>Times Square, New York, NY</x:v>
      </x:c>
      <x:c r="T31" s="54" t="str">
        <x:v>https://www.google.com/maps/search/?api=1&amp;query=Times+Square%2C+New+York%2C+NY</x:v>
      </x:c>
      <x:c r="U31" s="54" t="str"/>
      <x:c r="V31" s="54" t="str"/>
    </x:row>
    <x:row r="32" ht="48" customHeight="1">
      <x:c r="A32" s="45" t="str">
        <x:v>Mar 15</x:v>
      </x:c>
      <x:c r="B32" s="62" t="n">
        <x:v>46280</x:v>
      </x:c>
      <x:c r="C32" s="45" t="n">
        <x:v>13</x:v>
      </x:c>
      <x:c r="D32" s="46" t="n">
        <x:v>46280.854166666664</x:v>
      </x:c>
      <x:c r="E32" s="46" t="n">
        <x:v>46280.875</x:v>
      </x:c>
      <x:c r="F32" s="45" t="str">
        <x:v>Traslado</x:v>
      </x:c>
      <x:c r="G32" s="54" t="str">
        <x:v>Regreso a Chelsea</x:v>
      </x:c>
      <x:c r="H32" s="54" t="str">
        <x:v>Metro o caminata parcial según energía. No programar salida de pareja esta noche.</x:v>
      </x:c>
      <x:c r="I32" s="54" t="str">
        <x:v>Metro</x:v>
      </x:c>
      <x:c r="J32" s="54" t="n">
        <x:v>0</x:v>
      </x:c>
      <x:c r="K32" s="54" t="n">
        <x:v>15</x:v>
      </x:c>
      <x:c r="L32" s="54" t="n">
        <x:v>5</x:v>
      </x:c>
      <x:c r="M32" s="54" t="n">
        <x:f>IF(OR(D32="",E32=""),"",ROUND((E32-D32)*1440,0))</x:f>
        <x:v>30</x:v>
      </x:c>
      <x:c r="N32" s="54" t="str">
        <x:v>Importante</x:v>
      </x:c>
      <x:c r="O32" s="54" t="str">
        <x:v>No</x:v>
      </x:c>
      <x:c r="P32" s="54" t="str"/>
      <x:c r="Q32" s="54" t="str">
        <x:v>No</x:v>
      </x:c>
      <x:c r="R32" s="54" t="str">
        <x:v>CHELSEA_BASE</x:v>
      </x:c>
      <x:c r="S32" s="54" t="str">
        <x:v>8th Avenue &amp; West 18th Street, New York, NY</x:v>
      </x:c>
      <x:c r="T32" s="54" t="str">
        <x:v>https://www.google.com/maps/search/?api=1&amp;query=8th+Avenue+%26+West+18th+Street%2C+New+York%2C+NY</x:v>
      </x:c>
      <x:c r="U32" s="54" t="str"/>
      <x:c r="V32" s="54" t="str"/>
    </x:row>
    <x:row r="33" ht="48" customHeight="1">
      <x:c r="A33" s="45" t="str">
        <x:v>Mié 16</x:v>
      </x:c>
      <x:c r="B33" s="62" t="n">
        <x:v>46281</x:v>
      </x:c>
      <x:c r="C33" s="45" t="n">
        <x:v>1</x:v>
      </x:c>
      <x:c r="D33" s="46" t="n">
        <x:v>46281.34375</x:v>
      </x:c>
      <x:c r="E33" s="46" t="n">
        <x:v>46281.375</x:v>
      </x:c>
      <x:c r="F33" s="45" t="str">
        <x:v>Traslado</x:v>
      </x:c>
      <x:c r="G33" s="54" t="str">
        <x:v>Chelsea → DUMBO</x:v>
      </x:c>
      <x:c r="H33" s="54" t="str">
        <x:v>Metro hacia High Street o York Street según MTA. Elegir la estación más conveniente ese día.</x:v>
      </x:c>
      <x:c r="I33" s="54" t="str">
        <x:v>Metro</x:v>
      </x:c>
      <x:c r="J33" s="54" t="n">
        <x:v>0</x:v>
      </x:c>
      <x:c r="K33" s="54" t="n">
        <x:v>20</x:v>
      </x:c>
      <x:c r="L33" s="54" t="n">
        <x:v>10</x:v>
      </x:c>
      <x:c r="M33" s="54" t="n">
        <x:f>IF(OR(D33="",E33=""),"",ROUND((E33-D33)*1440,0))</x:f>
        <x:v>45</x:v>
      </x:c>
      <x:c r="N33" s="54" t="str">
        <x:v>Esencial</x:v>
      </x:c>
      <x:c r="O33" s="54" t="str">
        <x:v>No</x:v>
      </x:c>
      <x:c r="P33" s="54" t="str"/>
      <x:c r="Q33" s="54" t="str">
        <x:v>No</x:v>
      </x:c>
      <x:c r="R33" s="54" t="str">
        <x:v>DUMBO_WASHINGTON</x:v>
      </x:c>
      <x:c r="S33" s="54" t="str">
        <x:v>Washington Street &amp; Water Street, Brooklyn, NY</x:v>
      </x:c>
      <x:c r="T33" s="54" t="str">
        <x:v>https://www.google.com/maps/search/?api=1&amp;query=Washington+Street+%26+Water+Street%2C+Brooklyn%2C+NY</x:v>
      </x:c>
      <x:c r="U33" s="54" t="str"/>
      <x:c r="V33" s="54" t="str"/>
    </x:row>
    <x:row r="34" ht="48" customHeight="1">
      <x:c r="A34" s="45" t="str">
        <x:v>Mié 16</x:v>
      </x:c>
      <x:c r="B34" s="62" t="n">
        <x:v>46281</x:v>
      </x:c>
      <x:c r="C34" s="45" t="n">
        <x:v>2</x:v>
      </x:c>
      <x:c r="D34" s="46" t="n">
        <x:v>46281.375</x:v>
      </x:c>
      <x:c r="E34" s="46" t="n">
        <x:v>46281.427083333336</x:v>
      </x:c>
      <x:c r="F34" s="45" t="str">
        <x:v>Paseo</x:v>
      </x:c>
      <x:c r="G34" s="54" t="str">
        <x:v>DUMBO</x:v>
      </x:c>
      <x:c r="H34" s="54" t="str">
        <x:v>Washington Street → Main Street Park → Pebble Beach → Jane's Carousel → Brooklyn Bridge Park. Fotos y paseo, sin alargar cada parada.</x:v>
      </x:c>
      <x:c r="I34" s="54" t="str">
        <x:v>A pie</x:v>
      </x:c>
      <x:c r="J34" s="54" t="n">
        <x:v>75</x:v>
      </x:c>
      <x:c r="K34" s="54" t="n">
        <x:v>10</x:v>
      </x:c>
      <x:c r="L34" s="54" t="n">
        <x:v>10</x:v>
      </x:c>
      <x:c r="M34" s="54" t="n">
        <x:f>IF(OR(D34="",E34=""),"",ROUND((E34-D34)*1440,0))</x:f>
        <x:v>75</x:v>
      </x:c>
      <x:c r="N34" s="54" t="str">
        <x:v>Esencial</x:v>
      </x:c>
      <x:c r="O34" s="54" t="str">
        <x:v>No</x:v>
      </x:c>
      <x:c r="P34" s="54" t="str"/>
      <x:c r="Q34" s="54" t="str">
        <x:v>No</x:v>
      </x:c>
      <x:c r="R34" s="54" t="str">
        <x:v>JANE_CAROUSEL</x:v>
      </x:c>
      <x:c r="S34" s="54" t="str">
        <x:v>Jane's Carousel, Brooklyn, NY</x:v>
      </x:c>
      <x:c r="T34" s="54" t="str">
        <x:v>https://www.google.com/maps/search/?api=1&amp;query=Jane%27s+Carousel%2C+Brooklyn%2C+NY</x:v>
      </x:c>
      <x:c r="U34" s="54" t="str"/>
      <x:c r="V34" s="54" t="str"/>
    </x:row>
    <x:row r="35" ht="48" customHeight="1">
      <x:c r="A35" s="45" t="str">
        <x:v>Mié 16</x:v>
      </x:c>
      <x:c r="B35" s="62" t="n">
        <x:v>46281</x:v>
      </x:c>
      <x:c r="C35" s="45" t="n">
        <x:v>3</x:v>
      </x:c>
      <x:c r="D35" s="46" t="n">
        <x:v>46281.427083333336</x:v>
      </x:c>
      <x:c r="E35" s="46" t="n">
        <x:v>46281.458333333336</x:v>
      </x:c>
      <x:c r="F35" s="45" t="str">
        <x:v>Paseo / descanso</x:v>
      </x:c>
      <x:c r="G35" s="54" t="str">
        <x:v>Brooklyn Heights Promenade</x:v>
      </x:c>
      <x:c r="H35" s="54" t="str">
        <x:v>Mirador gratuito de Lower Manhattan. Usarlo también como pausa antes del puente.</x:v>
      </x:c>
      <x:c r="I35" s="54" t="str">
        <x:v>A pie</x:v>
      </x:c>
      <x:c r="J35" s="54" t="n">
        <x:v>45</x:v>
      </x:c>
      <x:c r="K35" s="54" t="n">
        <x:v>15</x:v>
      </x:c>
      <x:c r="L35" s="54" t="n">
        <x:v>5</x:v>
      </x:c>
      <x:c r="M35" s="54" t="n">
        <x:f>IF(OR(D35="",E35=""),"",ROUND((E35-D35)*1440,0))</x:f>
        <x:v>45</x:v>
      </x:c>
      <x:c r="N35" s="54" t="str">
        <x:v>Importante</x:v>
      </x:c>
      <x:c r="O35" s="54" t="str">
        <x:v>No</x:v>
      </x:c>
      <x:c r="P35" s="54" t="str"/>
      <x:c r="Q35" s="54" t="str">
        <x:v>No</x:v>
      </x:c>
      <x:c r="R35" s="54" t="str">
        <x:v>BK_PROMENADE</x:v>
      </x:c>
      <x:c r="S35" s="54" t="str">
        <x:v>Brooklyn Heights Promenade, Brooklyn, NY</x:v>
      </x:c>
      <x:c r="T35" s="54" t="str">
        <x:v>https://www.google.com/maps/search/?api=1&amp;query=Brooklyn+Heights+Promenade%2C+Brooklyn%2C+NY</x:v>
      </x:c>
      <x:c r="U35" s="54" t="str"/>
      <x:c r="V35" s="54" t="str"/>
    </x:row>
    <x:row r="36" ht="48" customHeight="1">
      <x:c r="A36" s="45" t="str">
        <x:v>Mié 16</x:v>
      </x:c>
      <x:c r="B36" s="62" t="n">
        <x:v>46281</x:v>
      </x:c>
      <x:c r="C36" s="45" t="n">
        <x:v>4</x:v>
      </x:c>
      <x:c r="D36" s="46" t="n">
        <x:v>46281.458333333336</x:v>
      </x:c>
      <x:c r="E36" s="46" t="n">
        <x:v>46281.46875</x:v>
      </x:c>
      <x:c r="F36" s="45" t="str">
        <x:v>Descanso</x:v>
      </x:c>
      <x:c r="G36" s="54" t="str">
        <x:v>Agua + sentarse</x:v>
      </x:c>
      <x:c r="H36" s="54" t="str">
        <x:v>Pausa corta explícita antes de cruzar el puente.</x:v>
      </x:c>
      <x:c r="I36" s="54" t="str"/>
      <x:c r="J36" s="54" t="n">
        <x:v>0</x:v>
      </x:c>
      <x:c r="K36" s="54" t="n">
        <x:v>15</x:v>
      </x:c>
      <x:c r="L36" s="54" t="n">
        <x:v>0</x:v>
      </x:c>
      <x:c r="M36" s="54" t="n">
        <x:f>IF(OR(D36="",E36=""),"",ROUND((E36-D36)*1440,0))</x:f>
        <x:v>15</x:v>
      </x:c>
      <x:c r="N36" s="54" t="str">
        <x:v>Importante</x:v>
      </x:c>
      <x:c r="O36" s="54" t="str">
        <x:v>No</x:v>
      </x:c>
      <x:c r="P36" s="54" t="str"/>
      <x:c r="Q36" s="54" t="str">
        <x:v>No</x:v>
      </x:c>
      <x:c r="R36" s="54" t="str">
        <x:v>BK_PROMENADE</x:v>
      </x:c>
      <x:c r="S36" s="54" t="str">
        <x:v>Brooklyn Heights Promenade, Brooklyn, NY</x:v>
      </x:c>
      <x:c r="T36" s="54" t="str">
        <x:v>https://www.google.com/maps/search/?api=1&amp;query=Brooklyn+Heights+Promenade%2C+Brooklyn%2C+NY</x:v>
      </x:c>
      <x:c r="U36" s="54" t="str"/>
      <x:c r="V36" s="54" t="str"/>
    </x:row>
    <x:row r="37" ht="48" customHeight="1">
      <x:c r="A37" s="45" t="str">
        <x:v>Mié 16</x:v>
      </x:c>
      <x:c r="B37" s="62" t="n">
        <x:v>46281</x:v>
      </x:c>
      <x:c r="C37" s="45" t="n">
        <x:v>5</x:v>
      </x:c>
      <x:c r="D37" s="46" t="n">
        <x:v>46281.46875</x:v>
      </x:c>
      <x:c r="E37" s="46" t="n">
        <x:v>46281.510416666664</x:v>
      </x:c>
      <x:c r="F37" s="45" t="str">
        <x:v>Paseo</x:v>
      </x:c>
      <x:c r="G37" s="54" t="str">
        <x:v>Brooklyn Bridge — Brooklyn → Manhattan</x:v>
      </x:c>
      <x:c r="H37" s="54" t="str">
        <x:v>Cruzar hacia Manhattan para tener el skyline delante. El cruce físico es más corto que el bloque: el resto es gente, cochecito y fotos.</x:v>
      </x:c>
      <x:c r="I37" s="54" t="str">
        <x:v>A pie</x:v>
      </x:c>
      <x:c r="J37" s="54" t="n">
        <x:v>60</x:v>
      </x:c>
      <x:c r="K37" s="54" t="n">
        <x:v>5</x:v>
      </x:c>
      <x:c r="L37" s="54" t="n">
        <x:v>15</x:v>
      </x:c>
      <x:c r="M37" s="54" t="n">
        <x:f>IF(OR(D37="",E37=""),"",ROUND((E37-D37)*1440,0))</x:f>
        <x:v>60</x:v>
      </x:c>
      <x:c r="N37" s="54" t="str">
        <x:v>Esencial</x:v>
      </x:c>
      <x:c r="O37" s="54" t="str">
        <x:v>No</x:v>
      </x:c>
      <x:c r="P37" s="54" t="str"/>
      <x:c r="Q37" s="54" t="str">
        <x:v>No</x:v>
      </x:c>
      <x:c r="R37" s="54" t="str">
        <x:v>BK_BRIDGE_MH</x:v>
      </x:c>
      <x:c r="S37" s="54" t="str">
        <x:v>Brooklyn Bridge Manhattan Side, New York, NY</x:v>
      </x:c>
      <x:c r="T37" s="54" t="str">
        <x:v>https://www.google.com/maps/search/?api=1&amp;query=Brooklyn+Bridge+Manhattan+Side%2C+New+York%2C+NY</x:v>
      </x:c>
      <x:c r="U37" s="54" t="str"/>
      <x:c r="V37" s="54" t="str"/>
    </x:row>
    <x:row r="38" ht="48" customHeight="1">
      <x:c r="A38" s="45" t="str">
        <x:v>Mié 16</x:v>
      </x:c>
      <x:c r="B38" s="62" t="n">
        <x:v>46281</x:v>
      </x:c>
      <x:c r="C38" s="45" t="n">
        <x:v>6</x:v>
      </x:c>
      <x:c r="D38" s="46" t="n">
        <x:v>46281.510416666664</x:v>
      </x:c>
      <x:c r="E38" s="46" t="n">
        <x:v>46281.520833333336</x:v>
      </x:c>
      <x:c r="F38" s="45" t="str">
        <x:v>Buffer</x:v>
      </x:c>
      <x:c r="G38" s="54" t="str">
        <x:v>Puente → Chinatown</x:v>
      </x:c>
      <x:c r="H38" s="54" t="str">
        <x:v>Margen para bajar del puente, baño o desvíos antes de comer.</x:v>
      </x:c>
      <x:c r="I38" s="54" t="str">
        <x:v>A pie</x:v>
      </x:c>
      <x:c r="J38" s="54" t="n">
        <x:v>0</x:v>
      </x:c>
      <x:c r="K38" s="54" t="n">
        <x:v>0</x:v>
      </x:c>
      <x:c r="L38" s="54" t="n">
        <x:v>15</x:v>
      </x:c>
      <x:c r="M38" s="54" t="n">
        <x:f>IF(OR(D38="",E38=""),"",ROUND((E38-D38)*1440,0))</x:f>
        <x:v>15</x:v>
      </x:c>
      <x:c r="N38" s="54" t="str">
        <x:v>Importante</x:v>
      </x:c>
      <x:c r="O38" s="54" t="str">
        <x:v>No</x:v>
      </x:c>
      <x:c r="P38" s="54" t="str"/>
      <x:c r="Q38" s="54" t="str">
        <x:v>No</x:v>
      </x:c>
      <x:c r="R38" s="54" t="str">
        <x:v>CHINATOWN</x:v>
      </x:c>
      <x:c r="S38" s="54" t="str">
        <x:v>Mott Street &amp; Canal Street, New York, NY</x:v>
      </x:c>
      <x:c r="T38" s="54" t="str">
        <x:v>https://www.google.com/maps/search/?api=1&amp;query=Mott+Street+%26+Canal+Street%2C+New+York%2C+NY</x:v>
      </x:c>
      <x:c r="U38" s="54" t="str"/>
      <x:c r="V38" s="54" t="str"/>
    </x:row>
    <x:row r="39" ht="48" customHeight="1">
      <x:c r="A39" s="45" t="str">
        <x:v>Mié 16</x:v>
      </x:c>
      <x:c r="B39" s="62" t="n">
        <x:v>46281</x:v>
      </x:c>
      <x:c r="C39" s="45" t="n">
        <x:v>7</x:v>
      </x:c>
      <x:c r="D39" s="46" t="n">
        <x:v>46281.520833333336</x:v>
      </x:c>
      <x:c r="E39" s="46" t="n">
        <x:v>46281.572916666664</x:v>
      </x:c>
      <x:c r="F39" s="45" t="str">
        <x:v>Comida / descanso</x:v>
      </x:c>
      <x:c r="G39" s="54" t="str">
        <x:v>Almuerzo en Chinatown</x:v>
      </x:c>
      <x:c r="H39" s="54" t="str">
        <x:v>Dumplings/comida rápida o restaurante sentado. Reservar 75 min para comer sin apuro.</x:v>
      </x:c>
      <x:c r="I39" s="54" t="str"/>
      <x:c r="J39" s="54" t="n">
        <x:v>0</x:v>
      </x:c>
      <x:c r="K39" s="54" t="n">
        <x:v>65</x:v>
      </x:c>
      <x:c r="L39" s="54" t="n">
        <x:v>10</x:v>
      </x:c>
      <x:c r="M39" s="54" t="n">
        <x:f>IF(OR(D39="",E39=""),"",ROUND((E39-D39)*1440,0))</x:f>
        <x:v>75</x:v>
      </x:c>
      <x:c r="N39" s="54" t="str">
        <x:v>Esencial</x:v>
      </x:c>
      <x:c r="O39" s="54" t="str">
        <x:v>No</x:v>
      </x:c>
      <x:c r="P39" s="54" t="str"/>
      <x:c r="Q39" s="54" t="str">
        <x:v>No</x:v>
      </x:c>
      <x:c r="R39" s="54" t="str">
        <x:v>CHINATOWN</x:v>
      </x:c>
      <x:c r="S39" s="54" t="str">
        <x:v>Mott Street &amp; Canal Street, New York, NY</x:v>
      </x:c>
      <x:c r="T39" s="54" t="str">
        <x:v>https://www.google.com/maps/search/?api=1&amp;query=Mott+Street+%26+Canal+Street%2C+New+York%2C+NY</x:v>
      </x:c>
      <x:c r="U39" s="54" t="str"/>
      <x:c r="V39" s="54" t="str"/>
    </x:row>
    <x:row r="40" ht="48" customHeight="1">
      <x:c r="A40" s="45" t="str">
        <x:v>Mié 16</x:v>
      </x:c>
      <x:c r="B40" s="62" t="n">
        <x:v>46281</x:v>
      </x:c>
      <x:c r="C40" s="45" t="n">
        <x:v>8</x:v>
      </x:c>
      <x:c r="D40" s="46" t="n">
        <x:v>46281.572916666664</x:v>
      </x:c>
      <x:c r="E40" s="46" t="n">
        <x:v>46281.59375</x:v>
      </x:c>
      <x:c r="F40" s="45" t="str">
        <x:v>Tiempo libre</x:v>
      </x:c>
      <x:c r="G40" s="54" t="str">
        <x:v>Baño / compras / imprevistos</x:v>
      </x:c>
      <x:c r="H40" s="54" t="str">
        <x:v>Media hora sin destino antes del bloque largo de barrios.</x:v>
      </x:c>
      <x:c r="I40" s="54" t="str"/>
      <x:c r="J40" s="54" t="n">
        <x:v>0</x:v>
      </x:c>
      <x:c r="K40" s="54" t="n">
        <x:v>10</x:v>
      </x:c>
      <x:c r="L40" s="54" t="n">
        <x:v>30</x:v>
      </x:c>
      <x:c r="M40" s="54" t="n">
        <x:f>IF(OR(D40="",E40=""),"",ROUND((E40-D40)*1440,0))</x:f>
        <x:v>30</x:v>
      </x:c>
      <x:c r="N40" s="54" t="str">
        <x:v>Importante</x:v>
      </x:c>
      <x:c r="O40" s="54" t="str">
        <x:v>No</x:v>
      </x:c>
      <x:c r="P40" s="54" t="str"/>
      <x:c r="Q40" s="54" t="str">
        <x:v>No</x:v>
      </x:c>
      <x:c r="R40" s="54" t="str"/>
      <x:c r="S40" s="54" t="str"/>
      <x:c r="T40" s="54" t="str"/>
      <x:c r="U40" s="54" t="str"/>
      <x:c r="V40" s="54" t="str"/>
    </x:row>
    <x:row r="41" ht="48" customHeight="1">
      <x:c r="A41" s="45" t="str">
        <x:v>Mié 16</x:v>
      </x:c>
      <x:c r="B41" s="62" t="n">
        <x:v>46281</x:v>
      </x:c>
      <x:c r="C41" s="45" t="n">
        <x:v>9</x:v>
      </x:c>
      <x:c r="D41" s="46" t="n">
        <x:v>46281.59375</x:v>
      </x:c>
      <x:c r="E41" s="46" t="n">
        <x:v>46281.71875</x:v>
      </x:c>
      <x:c r="F41" s="45" t="str">
        <x:v>Recorrido</x:v>
      </x:c>
      <x:c r="G41" s="54" t="str">
        <x:v>Chinatown → Little Italy → SoHo → Washington Square → Greenwich Village</x:v>
      </x:c>
      <x:c r="H41" s="54" t="str">
        <x:v>Tres horas con ritmo flexible. Washington Square funciona como pausa de 20–30 min. Si están cansados ~15:30, cortar en SoHo y tomar metro desde Canal.</x:v>
      </x:c>
      <x:c r="I41" s="54" t="str">
        <x:v>A pie</x:v>
      </x:c>
      <x:c r="J41" s="54" t="n">
        <x:v>180</x:v>
      </x:c>
      <x:c r="K41" s="54" t="n">
        <x:v>25</x:v>
      </x:c>
      <x:c r="L41" s="54" t="n">
        <x:v>20</x:v>
      </x:c>
      <x:c r="M41" s="54" t="n">
        <x:f>IF(OR(D41="",E41=""),"",ROUND((E41-D41)*1440,0))</x:f>
        <x:v>180</x:v>
      </x:c>
      <x:c r="N41" s="54" t="str">
        <x:v>Esencial</x:v>
      </x:c>
      <x:c r="O41" s="54" t="str">
        <x:v>No</x:v>
      </x:c>
      <x:c r="P41" s="54" t="str">
        <x:v>2</x:v>
      </x:c>
      <x:c r="Q41" s="54" t="str">
        <x:v>No</x:v>
      </x:c>
      <x:c r="R41" s="54" t="str">
        <x:v>GREENWICH_VILLAGE</x:v>
      </x:c>
      <x:c r="S41" s="54" t="str">
        <x:v>Greenwich Village, New York, NY</x:v>
      </x:c>
      <x:c r="T41" s="54" t="str">
        <x:v>https://www.google.com/maps/search/?api=1&amp;query=Greenwich+Village%2C+New+York%2C+NY</x:v>
      </x:c>
      <x:c r="U41" s="54" t="str"/>
      <x:c r="V41" s="54" t="str"/>
    </x:row>
    <x:row r="42" ht="48" customHeight="1">
      <x:c r="A42" s="45" t="str">
        <x:v>Mié 16</x:v>
      </x:c>
      <x:c r="B42" s="62" t="n">
        <x:v>46281</x:v>
      </x:c>
      <x:c r="C42" s="45" t="n">
        <x:v>10</x:v>
      </x:c>
      <x:c r="D42" s="46" t="n">
        <x:v>46281.71875</x:v>
      </x:c>
      <x:c r="E42" s="46" t="n">
        <x:v>46281.75</x:v>
      </x:c>
      <x:c r="F42" s="45" t="str">
        <x:v>Traslado</x:v>
      </x:c>
      <x:c r="G42" s="54" t="str">
        <x:v>Regreso a Chelsea</x:v>
      </x:c>
      <x:c r="H42" s="54" t="str">
        <x:v>Volver antes de la noche de pareja. No aprovechar el ahorro para sumar otra atracción.</x:v>
      </x:c>
      <x:c r="I42" s="54" t="str">
        <x:v>Metro</x:v>
      </x:c>
      <x:c r="J42" s="54" t="n">
        <x:v>0</x:v>
      </x:c>
      <x:c r="K42" s="54" t="n">
        <x:v>20</x:v>
      </x:c>
      <x:c r="L42" s="54" t="n">
        <x:v>10</x:v>
      </x:c>
      <x:c r="M42" s="54" t="n">
        <x:f>IF(OR(D42="",E42=""),"",ROUND((E42-D42)*1440,0))</x:f>
        <x:v>45</x:v>
      </x:c>
      <x:c r="N42" s="54" t="str">
        <x:v>Importante</x:v>
      </x:c>
      <x:c r="O42" s="54" t="str">
        <x:v>No</x:v>
      </x:c>
      <x:c r="P42" s="54" t="str"/>
      <x:c r="Q42" s="54" t="str">
        <x:v>No</x:v>
      </x:c>
      <x:c r="R42" s="54" t="str">
        <x:v>CHELSEA_BASE</x:v>
      </x:c>
      <x:c r="S42" s="54" t="str">
        <x:v>8th Avenue &amp; West 18th Street, New York, NY</x:v>
      </x:c>
      <x:c r="T42" s="54" t="str">
        <x:v>https://www.google.com/maps/search/?api=1&amp;query=8th+Avenue+%26+West+18th+Street%2C+New+York%2C+NY</x:v>
      </x:c>
      <x:c r="U42" s="54" t="str"/>
      <x:c r="V42" s="54" t="str"/>
    </x:row>
    <x:row r="43" ht="48" customHeight="1">
      <x:c r="A43" s="45" t="str">
        <x:v>Mié 16</x:v>
      </x:c>
      <x:c r="B43" s="62" t="n">
        <x:v>46281</x:v>
      </x:c>
      <x:c r="C43" s="45" t="n">
        <x:v>11</x:v>
      </x:c>
      <x:c r="D43" s="46" t="n">
        <x:v>46281.75</x:v>
      </x:c>
      <x:c r="E43" s="46" t="n">
        <x:v>46281.90625</x:v>
      </x:c>
      <x:c r="F43" s="45" t="str">
        <x:v>Descanso / cena</x:v>
      </x:c>
      <x:c r="G43" s="54" t="str">
        <x:v>Departamento + cena simple</x:v>
      </x:c>
      <x:c r="H43" s="54" t="str">
        <x:v>Bloque largo de recuperación: ducha, cena, chicas, descanso. Se conserva aunque el día haya terminado antes.</x:v>
      </x:c>
      <x:c r="I43" s="54" t="str"/>
      <x:c r="J43" s="54" t="n">
        <x:v>0</x:v>
      </x:c>
      <x:c r="K43" s="54" t="n">
        <x:v>180</x:v>
      </x:c>
      <x:c r="L43" s="54" t="n">
        <x:v>45</x:v>
      </x:c>
      <x:c r="M43" s="54" t="n">
        <x:f>IF(OR(D43="",E43=""),"",ROUND((E43-D43)*1440,0))</x:f>
        <x:v>225</x:v>
      </x:c>
      <x:c r="N43" s="54" t="str">
        <x:v>Esencial</x:v>
      </x:c>
      <x:c r="O43" s="54" t="str">
        <x:v>No</x:v>
      </x:c>
      <x:c r="P43" s="54" t="str"/>
      <x:c r="Q43" s="54" t="str">
        <x:v>No</x:v>
      </x:c>
      <x:c r="R43" s="54" t="str">
        <x:v>CHELSEA_BASE</x:v>
      </x:c>
      <x:c r="S43" s="54" t="str">
        <x:v>8th Avenue &amp; West 18th Street, New York, NY</x:v>
      </x:c>
      <x:c r="T43" s="54" t="str">
        <x:v>https://www.google.com/maps/search/?api=1&amp;query=8th+Avenue+%26+West+18th+Street%2C+New+York%2C+NY</x:v>
      </x:c>
      <x:c r="U43" s="54" t="str"/>
      <x:c r="V43" s="54" t="str"/>
    </x:row>
    <x:row r="44" ht="48" customHeight="1">
      <x:c r="A44" s="45" t="str">
        <x:v>Mié 16</x:v>
      </x:c>
      <x:c r="B44" s="62" t="n">
        <x:v>46281</x:v>
      </x:c>
      <x:c r="C44" s="45" t="n">
        <x:v>12</x:v>
      </x:c>
      <x:c r="D44" s="46" t="n">
        <x:v>46281.927083333336</x:v>
      </x:c>
      <x:c r="E44" s="46" t="n">
        <x:v>46282.041666666664</x:v>
      </x:c>
      <x:c r="F44" s="45" t="str">
        <x:v>Salida de pareja</x:v>
      </x:c>
      <x:c r="G44" s="54" t="str">
        <x:v>Le Bain — opción principal</x:v>
      </x:c>
      <x:c r="H44" s="54" t="str">
        <x:v>Rooftop + tragos + baile sin cruzar la ciudad. Entrada sujeta a evento/capacidad. Marquee queda como alternativa de discoteca.</x:v>
      </x:c>
      <x:c r="I44" s="54" t="str">
        <x:v>A pie</x:v>
      </x:c>
      <x:c r="J44" s="54" t="n">
        <x:v>165</x:v>
      </x:c>
      <x:c r="K44" s="54" t="n">
        <x:v>0</x:v>
      </x:c>
      <x:c r="L44" s="54" t="n">
        <x:v>15</x:v>
      </x:c>
      <x:c r="M44" s="54" t="n">
        <x:f>IF(OR(D44="",E44=""),"",ROUND((E44-D44)*1440,0))</x:f>
        <x:v>165</x:v>
      </x:c>
      <x:c r="N44" s="54" t="str">
        <x:v>Opcional</x:v>
      </x:c>
      <x:c r="O44" s="54" t="str">
        <x:v>Sí</x:v>
      </x:c>
      <x:c r="P44" s="54" t="str"/>
      <x:c r="Q44" s="54" t="str">
        <x:v>No</x:v>
      </x:c>
      <x:c r="R44" s="54" t="str">
        <x:v>LE_BAIN</x:v>
      </x:c>
      <x:c r="S44" s="54" t="str">
        <x:v>Le Bain at The Standard High Line, New York, NY</x:v>
      </x:c>
      <x:c r="T44" s="54" t="str">
        <x:v>https://www.google.com/maps/search/?api=1&amp;query=Le+Bain+at+The+Standard+High+Line%2C+New+York%2C+NY</x:v>
      </x:c>
      <x:c r="U44" s="54" t="str"/>
      <x:c r="V44" s="54" t="str"/>
    </x:row>
    <x:row r="45" ht="48" customHeight="1">
      <x:c r="A45" s="45" t="str">
        <x:v>Jue 17</x:v>
      </x:c>
      <x:c r="B45" s="62" t="n">
        <x:v>46282</x:v>
      </x:c>
      <x:c r="C45" s="45" t="n">
        <x:v>1</x:v>
      </x:c>
      <x:c r="D45" s="46" t="n">
        <x:v>46282.364583333336</x:v>
      </x:c>
      <x:c r="E45" s="46" t="n">
        <x:v>46282.375</x:v>
      </x:c>
      <x:c r="F45" s="45" t="str">
        <x:v>Traslado a pie</x:v>
      </x:c>
      <x:c r="G45" s="54" t="str">
        <x:v>Departamento → High Line W20</x:v>
      </x:c>
      <x:c r="H45" s="54" t="str">
        <x:v>Entrada cerca de W20. Salida normal del grupo; si Fer y Jeni durmieron poco, pueden incorporarse más tarde en Hudson Yards/Bryant.</x:v>
      </x:c>
      <x:c r="I45" s="54" t="str">
        <x:v>A pie</x:v>
      </x:c>
      <x:c r="J45" s="54" t="n">
        <x:v>0</x:v>
      </x:c>
      <x:c r="K45" s="54" t="n">
        <x:v>0</x:v>
      </x:c>
      <x:c r="L45" s="54" t="n">
        <x:v>5</x:v>
      </x:c>
      <x:c r="M45" s="54" t="n">
        <x:f>IF(OR(D45="",E45=""),"",ROUND((E45-D45)*1440,0))</x:f>
        <x:v>15</x:v>
      </x:c>
      <x:c r="N45" s="54" t="str">
        <x:v>Importante</x:v>
      </x:c>
      <x:c r="O45" s="54" t="str">
        <x:v>No</x:v>
      </x:c>
      <x:c r="P45" s="54" t="str"/>
      <x:c r="Q45" s="54" t="str">
        <x:v>No</x:v>
      </x:c>
      <x:c r="R45" s="54" t="str">
        <x:v>HIGHLINE_W20</x:v>
      </x:c>
      <x:c r="S45" s="54" t="str">
        <x:v>High Line entrance West 20th Street, New York, NY</x:v>
      </x:c>
      <x:c r="T45" s="54" t="str">
        <x:v>https://www.google.com/maps/search/?api=1&amp;query=High+Line+entrance+West+20th+Street%2C+New+York%2C+NY</x:v>
      </x:c>
      <x:c r="U45" s="54" t="str"/>
      <x:c r="V45" s="54" t="str"/>
    </x:row>
    <x:row r="46" ht="48" customHeight="1">
      <x:c r="A46" s="45" t="str">
        <x:v>Jue 17</x:v>
      </x:c>
      <x:c r="B46" s="62" t="n">
        <x:v>46282</x:v>
      </x:c>
      <x:c r="C46" s="45" t="n">
        <x:v>2</x:v>
      </x:c>
      <x:c r="D46" s="46" t="n">
        <x:v>46282.375</x:v>
      </x:c>
      <x:c r="E46" s="46" t="n">
        <x:v>46282.427083333336</x:v>
      </x:c>
      <x:c r="F46" s="45" t="str">
        <x:v>Paseo</x:v>
      </x:c>
      <x:c r="G46" s="54" t="str">
        <x:v>High Line norte</x:v>
      </x:c>
      <x:c r="H46" s="54" t="str">
        <x:v>Chelsea → W30 → Hudson Yards. Paseo con fotos; no hace falta apurarse.</x:v>
      </x:c>
      <x:c r="I46" s="54" t="str">
        <x:v>A pie</x:v>
      </x:c>
      <x:c r="J46" s="54" t="n">
        <x:v>75</x:v>
      </x:c>
      <x:c r="K46" s="54" t="n">
        <x:v>10</x:v>
      </x:c>
      <x:c r="L46" s="54" t="n">
        <x:v>10</x:v>
      </x:c>
      <x:c r="M46" s="54" t="n">
        <x:f>IF(OR(D46="",E46=""),"",ROUND((E46-D46)*1440,0))</x:f>
        <x:v>75</x:v>
      </x:c>
      <x:c r="N46" s="54" t="str">
        <x:v>Esencial</x:v>
      </x:c>
      <x:c r="O46" s="54" t="str">
        <x:v>No</x:v>
      </x:c>
      <x:c r="P46" s="54" t="str"/>
      <x:c r="Q46" s="54" t="str">
        <x:v>No</x:v>
      </x:c>
      <x:c r="R46" s="54" t="str">
        <x:v>HIGHLINE_W30</x:v>
      </x:c>
      <x:c r="S46" s="54" t="str">
        <x:v>High Line West 30th Street, New York, NY</x:v>
      </x:c>
      <x:c r="T46" s="54" t="str">
        <x:v>https://www.google.com/maps/search/?api=1&amp;query=High+Line+West+30th+Street%2C+New+York%2C+NY</x:v>
      </x:c>
      <x:c r="U46" s="54" t="str"/>
      <x:c r="V46" s="54" t="str"/>
    </x:row>
    <x:row r="47" ht="48" customHeight="1">
      <x:c r="A47" s="45" t="str">
        <x:v>Jue 17</x:v>
      </x:c>
      <x:c r="B47" s="62" t="n">
        <x:v>46282</x:v>
      </x:c>
      <x:c r="C47" s="45" t="n">
        <x:v>3</x:v>
      </x:c>
      <x:c r="D47" s="46" t="n">
        <x:v>46282.427083333336</x:v>
      </x:c>
      <x:c r="E47" s="46" t="n">
        <x:v>46282.46875</x:v>
      </x:c>
      <x:c r="F47" s="45" t="str">
        <x:v>Paseo / descanso</x:v>
      </x:c>
      <x:c r="G47" s="54" t="str">
        <x:v>Hudson Yards</x:v>
      </x:c>
      <x:c r="H47" s="54" t="str">
        <x:v>Vessel exterior, plaza, The Shed y Shops para baños/descanso. No subir a Vessel.</x:v>
      </x:c>
      <x:c r="I47" s="54" t="str">
        <x:v>A pie</x:v>
      </x:c>
      <x:c r="J47" s="54" t="n">
        <x:v>60</x:v>
      </x:c>
      <x:c r="K47" s="54" t="n">
        <x:v>20</x:v>
      </x:c>
      <x:c r="L47" s="54" t="n">
        <x:v>15</x:v>
      </x:c>
      <x:c r="M47" s="54" t="n">
        <x:f>IF(OR(D47="",E47=""),"",ROUND((E47-D47)*1440,0))</x:f>
        <x:v>60</x:v>
      </x:c>
      <x:c r="N47" s="54" t="str">
        <x:v>Importante</x:v>
      </x:c>
      <x:c r="O47" s="54" t="str">
        <x:v>No</x:v>
      </x:c>
      <x:c r="P47" s="54" t="str"/>
      <x:c r="Q47" s="54" t="str">
        <x:v>No</x:v>
      </x:c>
      <x:c r="R47" s="54" t="str">
        <x:v>VESSEL</x:v>
      </x:c>
      <x:c r="S47" s="54" t="str">
        <x:v>Vessel Hudson Yards, New York, NY</x:v>
      </x:c>
      <x:c r="T47" s="54" t="str">
        <x:v>https://www.google.com/maps/search/?api=1&amp;query=Vessel+Hudson+Yards%2C+New+York%2C+NY</x:v>
      </x:c>
      <x:c r="U47" s="54" t="str"/>
      <x:c r="V47" s="54" t="str"/>
    </x:row>
    <x:row r="48" ht="48" customHeight="1">
      <x:c r="A48" s="45" t="str">
        <x:v>Jue 17</x:v>
      </x:c>
      <x:c r="B48" s="62" t="n">
        <x:v>46282</x:v>
      </x:c>
      <x:c r="C48" s="45" t="n">
        <x:v>4</x:v>
      </x:c>
      <x:c r="D48" s="46" t="n">
        <x:v>46282.46875</x:v>
      </x:c>
      <x:c r="E48" s="46" t="n">
        <x:v>46282.479166666664</x:v>
      </x:c>
      <x:c r="F48" s="45" t="str">
        <x:v>Buffer</x:v>
      </x:c>
      <x:c r="G48" s="54" t="str">
        <x:v>Baño + decisión de ritmo</x:v>
      </x:c>
      <x:c r="H48" s="54" t="str">
        <x:v>Cuarto de hora sin objetivo. Si alguien quiere comprar algo en Hudson Yards, usar éste o parte del bloque anterior.</x:v>
      </x:c>
      <x:c r="I48" s="54" t="str"/>
      <x:c r="J48" s="54" t="n">
        <x:v>0</x:v>
      </x:c>
      <x:c r="K48" s="54" t="n">
        <x:v>5</x:v>
      </x:c>
      <x:c r="L48" s="54" t="n">
        <x:v>15</x:v>
      </x:c>
      <x:c r="M48" s="54" t="n">
        <x:f>IF(OR(D48="",E48=""),"",ROUND((E48-D48)*1440,0))</x:f>
        <x:v>15</x:v>
      </x:c>
      <x:c r="N48" s="54" t="str">
        <x:v>Importante</x:v>
      </x:c>
      <x:c r="O48" s="54" t="str">
        <x:v>No</x:v>
      </x:c>
      <x:c r="P48" s="54" t="str"/>
      <x:c r="Q48" s="54" t="str">
        <x:v>No</x:v>
      </x:c>
      <x:c r="R48" s="54" t="str"/>
      <x:c r="S48" s="54" t="str"/>
      <x:c r="T48" s="54" t="str"/>
      <x:c r="U48" s="54" t="str"/>
      <x:c r="V48" s="54" t="str"/>
    </x:row>
    <x:row r="49" ht="48" customHeight="1">
      <x:c r="A49" s="45" t="str">
        <x:v>Jue 17</x:v>
      </x:c>
      <x:c r="B49" s="62" t="n">
        <x:v>46282</x:v>
      </x:c>
      <x:c r="C49" s="45" t="n">
        <x:v>5</x:v>
      </x:c>
      <x:c r="D49" s="46" t="n">
        <x:v>46282.479166666664</x:v>
      </x:c>
      <x:c r="E49" s="46" t="n">
        <x:v>46282.493055555555</x:v>
      </x:c>
      <x:c r="F49" s="45" t="str">
        <x:v>Caminata</x:v>
      </x:c>
      <x:c r="G49" s="54" t="str">
        <x:v>Hudson Yards → Moynihan Train Hall</x:v>
      </x:c>
      <x:c r="H49" s="54" t="str">
        <x:v>En vez de tomar la línea 7, convertir el cruce hacia Midtown en paseo. Primer tramo de la ruta nueva.</x:v>
      </x:c>
      <x:c r="I49" s="54" t="str">
        <x:v>A pie</x:v>
      </x:c>
      <x:c r="J49" s="54" t="n">
        <x:v>0</x:v>
      </x:c>
      <x:c r="K49" s="54" t="n">
        <x:v>0</x:v>
      </x:c>
      <x:c r="L49" s="54" t="n">
        <x:v>0</x:v>
      </x:c>
      <x:c r="M49" s="54" t="n">
        <x:f>IF(OR(D49="",E49=""),"",ROUND((E49-D49)*1440,0))</x:f>
        <x:v>20</x:v>
      </x:c>
      <x:c r="N49" s="54" t="str">
        <x:v>Importante</x:v>
      </x:c>
      <x:c r="O49" s="54" t="str">
        <x:v>No</x:v>
      </x:c>
      <x:c r="P49" s="54" t="str"/>
      <x:c r="Q49" s="54" t="str">
        <x:v>Sí</x:v>
      </x:c>
      <x:c r="R49" s="54" t="str">
        <x:v>MOYNIHAN</x:v>
      </x:c>
      <x:c r="S49" s="54" t="str">
        <x:v>Moynihan Train Hall, New York, NY</x:v>
      </x:c>
      <x:c r="T49" s="54" t="str">
        <x:v>https://www.google.com/maps/search/?api=1&amp;query=Moynihan+Train+Hall%2C+New+York%2C+NY</x:v>
      </x:c>
      <x:c r="U49" s="54" t="str"/>
      <x:c r="V49" s="54" t="str"/>
    </x:row>
    <x:row r="50" ht="48" customHeight="1">
      <x:c r="A50" s="45" t="str">
        <x:v>Jue 17</x:v>
      </x:c>
      <x:c r="B50" s="62" t="n">
        <x:v>46282</x:v>
      </x:c>
      <x:c r="C50" s="45" t="n">
        <x:v>6</x:v>
      </x:c>
      <x:c r="D50" s="46" t="n">
        <x:v>46282.493055555555</x:v>
      </x:c>
      <x:c r="E50" s="46" t="n">
        <x:v>46282.506944444445</x:v>
      </x:c>
      <x:c r="F50" s="45" t="str">
        <x:v>Visita breve</x:v>
      </x:c>
      <x:c r="G50" s="54" t="str">
        <x:v>Moynihan Train Hall</x:v>
      </x:c>
      <x:c r="H50" s="54" t="str">
        <x:v>Arquitectura/arte, baños y mirada rápida. No dedicar más de ~20 min.</x:v>
      </x:c>
      <x:c r="I50" s="54" t="str"/>
      <x:c r="J50" s="54" t="n">
        <x:v>20</x:v>
      </x:c>
      <x:c r="K50" s="54" t="n">
        <x:v>5</x:v>
      </x:c>
      <x:c r="L50" s="54" t="n">
        <x:v>5</x:v>
      </x:c>
      <x:c r="M50" s="54" t="n">
        <x:f>IF(OR(D50="",E50=""),"",ROUND((E50-D50)*1440,0))</x:f>
        <x:v>20</x:v>
      </x:c>
      <x:c r="N50" s="54" t="str">
        <x:v>Importante</x:v>
      </x:c>
      <x:c r="O50" s="54" t="str">
        <x:v>No</x:v>
      </x:c>
      <x:c r="P50" s="54" t="str"/>
      <x:c r="Q50" s="54" t="str">
        <x:v>Sí</x:v>
      </x:c>
      <x:c r="R50" s="54" t="str">
        <x:v>MOYNIHAN</x:v>
      </x:c>
      <x:c r="S50" s="54" t="str">
        <x:v>Moynihan Train Hall, New York, NY</x:v>
      </x:c>
      <x:c r="T50" s="54" t="str">
        <x:v>https://www.google.com/maps/search/?api=1&amp;query=Moynihan+Train+Hall%2C+New+York%2C+NY</x:v>
      </x:c>
      <x:c r="U50" s="54" t="str"/>
      <x:c r="V50" s="54" t="str"/>
    </x:row>
    <x:row r="51" ht="48" customHeight="1">
      <x:c r="A51" s="45" t="str">
        <x:v>Jue 17</x:v>
      </x:c>
      <x:c r="B51" s="62" t="n">
        <x:v>46282</x:v>
      </x:c>
      <x:c r="C51" s="45" t="n">
        <x:v>7</x:v>
      </x:c>
      <x:c r="D51" s="46" t="n">
        <x:v>46282.506944444445</x:v>
      </x:c>
      <x:c r="E51" s="46" t="n">
        <x:v>46282.51388888889</x:v>
      </x:c>
      <x:c r="F51" s="45" t="str">
        <x:v>Caminata</x:v>
      </x:c>
      <x:c r="G51" s="54" t="str">
        <x:v>Moynihan → Herald Square</x:v>
      </x:c>
      <x:c r="H51" s="54" t="str">
        <x:v>Tramo corto hacia 34th/6th.</x:v>
      </x:c>
      <x:c r="I51" s="54" t="str">
        <x:v>A pie</x:v>
      </x:c>
      <x:c r="J51" s="54" t="n">
        <x:v>0</x:v>
      </x:c>
      <x:c r="K51" s="54" t="n">
        <x:v>0</x:v>
      </x:c>
      <x:c r="L51" s="54" t="n">
        <x:v>0</x:v>
      </x:c>
      <x:c r="M51" s="54" t="n">
        <x:f>IF(OR(D51="",E51=""),"",ROUND((E51-D51)*1440,0))</x:f>
        <x:v>10</x:v>
      </x:c>
      <x:c r="N51" s="54" t="str">
        <x:v>Importante</x:v>
      </x:c>
      <x:c r="O51" s="54" t="str">
        <x:v>No</x:v>
      </x:c>
      <x:c r="P51" s="54" t="str"/>
      <x:c r="Q51" s="54" t="str">
        <x:v>Sí</x:v>
      </x:c>
      <x:c r="R51" s="54" t="str">
        <x:v>HERALD_SQ</x:v>
      </x:c>
      <x:c r="S51" s="54" t="str">
        <x:v>Herald Square, New York, NY</x:v>
      </x:c>
      <x:c r="T51" s="54" t="str">
        <x:v>https://www.google.com/maps/search/?api=1&amp;query=Herald+Square%2C+New+York%2C+NY</x:v>
      </x:c>
      <x:c r="U51" s="54" t="str"/>
      <x:c r="V51" s="54" t="str"/>
    </x:row>
    <x:row r="52" ht="48" customHeight="1">
      <x:c r="A52" s="45" t="str">
        <x:v>Jue 17</x:v>
      </x:c>
      <x:c r="B52" s="62" t="n">
        <x:v>46282</x:v>
      </x:c>
      <x:c r="C52" s="45" t="n">
        <x:v>8</x:v>
      </x:c>
      <x:c r="D52" s="46" t="n">
        <x:v>46282.51388888889</x:v>
      </x:c>
      <x:c r="E52" s="46" t="n">
        <x:v>46282.53472222222</x:v>
      </x:c>
      <x:c r="F52" s="45" t="str">
        <x:v>Compras / paseo</x:v>
      </x:c>
      <x:c r="G52" s="54" t="str">
        <x:v>Herald Square + Macy's</x:v>
      </x:c>
      <x:c r="H52" s="54" t="str">
        <x:v>Ventana breve y flexible para mirar Macy's o hacer una compra. Si no interesa, se recuperan 20–30 min.</x:v>
      </x:c>
      <x:c r="I52" s="54" t="str">
        <x:v>A pie</x:v>
      </x:c>
      <x:c r="J52" s="54" t="n">
        <x:v>30</x:v>
      </x:c>
      <x:c r="K52" s="54" t="n">
        <x:v>5</x:v>
      </x:c>
      <x:c r="L52" s="54" t="n">
        <x:v>10</x:v>
      </x:c>
      <x:c r="M52" s="54" t="n">
        <x:f>IF(OR(D52="",E52=""),"",ROUND((E52-D52)*1440,0))</x:f>
        <x:v>30</x:v>
      </x:c>
      <x:c r="N52" s="54" t="str">
        <x:v>Opcional</x:v>
      </x:c>
      <x:c r="O52" s="54" t="str">
        <x:v>Sí</x:v>
      </x:c>
      <x:c r="P52" s="54" t="str"/>
      <x:c r="Q52" s="54" t="str">
        <x:v>Sí</x:v>
      </x:c>
      <x:c r="R52" s="54" t="str">
        <x:v>MACYS</x:v>
      </x:c>
      <x:c r="S52" s="54" t="str">
        <x:v>Macy's Herald Square, New York, NY</x:v>
      </x:c>
      <x:c r="T52" s="54" t="str">
        <x:v>https://www.google.com/maps/search/?api=1&amp;query=Macy%27s+Herald+Square%2C+New+York%2C+NY</x:v>
      </x:c>
      <x:c r="U52" s="54" t="str"/>
      <x:c r="V52" s="54" t="str"/>
    </x:row>
    <x:row r="53" ht="48" customHeight="1">
      <x:c r="A53" s="45" t="str">
        <x:v>Jue 17</x:v>
      </x:c>
      <x:c r="B53" s="62" t="n">
        <x:v>46282</x:v>
      </x:c>
      <x:c r="C53" s="45" t="n">
        <x:v>9</x:v>
      </x:c>
      <x:c r="D53" s="46" t="n">
        <x:v>46282.53472222222</x:v>
      </x:c>
      <x:c r="E53" s="46" t="n">
        <x:v>46282.552083333336</x:v>
      </x:c>
      <x:c r="F53" s="45" t="str">
        <x:v>Paseo</x:v>
      </x:c>
      <x:c r="G53" s="54" t="str">
        <x:v>Empire State exterior → Bryant Park</x:v>
      </x:c>
      <x:c r="H53" s="54" t="str">
        <x:v>Ver Empire State desde la calle; no subir porque SUMMIT ya es el mirador pago del viaje.</x:v>
      </x:c>
      <x:c r="I53" s="54" t="str">
        <x:v>A pie</x:v>
      </x:c>
      <x:c r="J53" s="54" t="n">
        <x:v>25</x:v>
      </x:c>
      <x:c r="K53" s="54" t="n">
        <x:v>0</x:v>
      </x:c>
      <x:c r="L53" s="54" t="n">
        <x:v>5</x:v>
      </x:c>
      <x:c r="M53" s="54" t="n">
        <x:f>IF(OR(D53="",E53=""),"",ROUND((E53-D53)*1440,0))</x:f>
        <x:v>25</x:v>
      </x:c>
      <x:c r="N53" s="54" t="str">
        <x:v>Importante</x:v>
      </x:c>
      <x:c r="O53" s="54" t="str">
        <x:v>No</x:v>
      </x:c>
      <x:c r="P53" s="54" t="str"/>
      <x:c r="Q53" s="54" t="str">
        <x:v>Sí</x:v>
      </x:c>
      <x:c r="R53" s="54" t="str">
        <x:v>EMPIRE</x:v>
      </x:c>
      <x:c r="S53" s="54" t="str">
        <x:v>Empire State Building, New York, NY</x:v>
      </x:c>
      <x:c r="T53" s="54" t="str">
        <x:v>https://www.google.com/maps/search/?api=1&amp;query=Empire+State+Building%2C+New+York%2C+NY</x:v>
      </x:c>
      <x:c r="U53" s="54" t="str"/>
      <x:c r="V53" s="54" t="str"/>
    </x:row>
    <x:row r="54" ht="48" customHeight="1">
      <x:c r="A54" s="45" t="str">
        <x:v>Jue 17</x:v>
      </x:c>
      <x:c r="B54" s="62" t="n">
        <x:v>46282</x:v>
      </x:c>
      <x:c r="C54" s="45" t="n">
        <x:v>10</x:v>
      </x:c>
      <x:c r="D54" s="46" t="n">
        <x:v>46282.552083333336</x:v>
      </x:c>
      <x:c r="E54" s="46" t="n">
        <x:v>46282.59375</x:v>
      </x:c>
      <x:c r="F54" s="45" t="str">
        <x:v>Comida / descanso</x:v>
      </x:c>
      <x:c r="G54" s="54" t="str">
        <x:v>Almuerzo en Bryant Park</x:v>
      </x:c>
      <x:c r="H54" s="54" t="str">
        <x:v>Una hora sentados. Comer casual; si la mañana se atrasó, este bloque puede comprimirse a 45 min sin correr.</x:v>
      </x:c>
      <x:c r="I54" s="54" t="str"/>
      <x:c r="J54" s="54" t="n">
        <x:v>0</x:v>
      </x:c>
      <x:c r="K54" s="54" t="n">
        <x:v>55</x:v>
      </x:c>
      <x:c r="L54" s="54" t="n">
        <x:v>5</x:v>
      </x:c>
      <x:c r="M54" s="54" t="n">
        <x:f>IF(OR(D54="",E54=""),"",ROUND((E54-D54)*1440,0))</x:f>
        <x:v>60</x:v>
      </x:c>
      <x:c r="N54" s="54" t="str">
        <x:v>Esencial</x:v>
      </x:c>
      <x:c r="O54" s="54" t="str">
        <x:v>No</x:v>
      </x:c>
      <x:c r="P54" s="54" t="str"/>
      <x:c r="Q54" s="54" t="str">
        <x:v>No</x:v>
      </x:c>
      <x:c r="R54" s="54" t="str">
        <x:v>BRYANT_PARK</x:v>
      </x:c>
      <x:c r="S54" s="54" t="str">
        <x:v>Bryant Park, New York, NY</x:v>
      </x:c>
      <x:c r="T54" s="54" t="str">
        <x:v>https://www.google.com/maps/search/?api=1&amp;query=Bryant+Park%2C+New+York%2C+NY</x:v>
      </x:c>
      <x:c r="U54" s="54" t="str"/>
      <x:c r="V54" s="54" t="str"/>
    </x:row>
    <x:row r="55" ht="48" customHeight="1">
      <x:c r="A55" s="45" t="str">
        <x:v>Jue 17</x:v>
      </x:c>
      <x:c r="B55" s="62" t="n">
        <x:v>46282</x:v>
      </x:c>
      <x:c r="C55" s="45" t="n">
        <x:v>11</x:v>
      </x:c>
      <x:c r="D55" s="46" t="n">
        <x:v>46282.59375</x:v>
      </x:c>
      <x:c r="E55" s="46" t="n">
        <x:v>46282.62847222222</x:v>
      </x:c>
      <x:c r="F55" s="45" t="str">
        <x:v>Paseo</x:v>
      </x:c>
      <x:c r="G55" s="54" t="str">
        <x:v>Bryant Park + NY Public Library</x:v>
      </x:c>
      <x:c r="H55" s="54" t="str">
        <x:v>Pausa gratuita y visualmente linda; biblioteca principal como visita breve.</x:v>
      </x:c>
      <x:c r="I55" s="54" t="str">
        <x:v>A pie</x:v>
      </x:c>
      <x:c r="J55" s="54" t="n">
        <x:v>50</x:v>
      </x:c>
      <x:c r="K55" s="54" t="n">
        <x:v>10</x:v>
      </x:c>
      <x:c r="L55" s="54" t="n">
        <x:v>10</x:v>
      </x:c>
      <x:c r="M55" s="54" t="n">
        <x:f>IF(OR(D55="",E55=""),"",ROUND((E55-D55)*1440,0))</x:f>
        <x:v>50</x:v>
      </x:c>
      <x:c r="N55" s="54" t="str">
        <x:v>Importante</x:v>
      </x:c>
      <x:c r="O55" s="54" t="str">
        <x:v>No</x:v>
      </x:c>
      <x:c r="P55" s="54" t="str"/>
      <x:c r="Q55" s="54" t="str">
        <x:v>No</x:v>
      </x:c>
      <x:c r="R55" s="54" t="str">
        <x:v>NYPL_MAIN</x:v>
      </x:c>
      <x:c r="S55" s="54" t="str">
        <x:v>New York Public Library Stephen A. Schwarzman Building, New York, NY</x:v>
      </x:c>
      <x:c r="T55" s="54" t="str">
        <x:v>https://www.google.com/maps/search/?api=1&amp;query=New+York+Public+Library+Stephen+A.+Schwarzman+Building%2C+New+York%2C+NY</x:v>
      </x:c>
      <x:c r="U55" s="54" t="str"/>
      <x:c r="V55" s="54" t="str"/>
    </x:row>
    <x:row r="56" ht="48" customHeight="1">
      <x:c r="A56" s="45" t="str">
        <x:v>Jue 17</x:v>
      </x:c>
      <x:c r="B56" s="62" t="n">
        <x:v>46282</x:v>
      </x:c>
      <x:c r="C56" s="45" t="n">
        <x:v>12</x:v>
      </x:c>
      <x:c r="D56" s="46" t="n">
        <x:v>46282.62847222222</x:v>
      </x:c>
      <x:c r="E56" s="46" t="n">
        <x:v>46282.64236111111</x:v>
      </x:c>
      <x:c r="F56" s="45" t="str">
        <x:v>Opcional nuevo</x:v>
      </x:c>
      <x:c r="G56" s="54" t="str">
        <x:v>SNFL rooftop</x:v>
      </x:c>
      <x:c r="H56" s="54" t="str">
        <x:v>Terraza pública de la Stavros Niarchos Foundation Library. Sólo si tienen ganas; se corta antes que el buffer pre-SUMMIT.</x:v>
      </x:c>
      <x:c r="I56" s="54" t="str">
        <x:v>A pie</x:v>
      </x:c>
      <x:c r="J56" s="54" t="n">
        <x:v>20</x:v>
      </x:c>
      <x:c r="K56" s="54" t="n">
        <x:v>5</x:v>
      </x:c>
      <x:c r="L56" s="54" t="n">
        <x:v>0</x:v>
      </x:c>
      <x:c r="M56" s="54" t="n">
        <x:f>IF(OR(D56="",E56=""),"",ROUND((E56-D56)*1440,0))</x:f>
        <x:v>20</x:v>
      </x:c>
      <x:c r="N56" s="54" t="str">
        <x:v>Opcional</x:v>
      </x:c>
      <x:c r="O56" s="54" t="str">
        <x:v>Sí</x:v>
      </x:c>
      <x:c r="P56" s="54" t="str">
        <x:v>3</x:v>
      </x:c>
      <x:c r="Q56" s="54" t="str">
        <x:v>Sí</x:v>
      </x:c>
      <x:c r="R56" s="54" t="str">
        <x:v>SNFL</x:v>
      </x:c>
      <x:c r="S56" s="54" t="str">
        <x:v>Stavros Niarchos Foundation Library, New York, NY</x:v>
      </x:c>
      <x:c r="T56" s="54" t="str">
        <x:v>https://www.google.com/maps/search/?api=1&amp;query=Stavros+Niarchos+Foundation+Library%2C+New+York%2C+NY</x:v>
      </x:c>
      <x:c r="U56" s="54" t="str"/>
      <x:c r="V56" s="54" t="str"/>
    </x:row>
    <x:row r="57" ht="48" customHeight="1">
      <x:c r="A57" s="45" t="str">
        <x:v>Jue 17</x:v>
      </x:c>
      <x:c r="B57" s="62" t="n">
        <x:v>46282</x:v>
      </x:c>
      <x:c r="C57" s="45" t="n">
        <x:v>13</x:v>
      </x:c>
      <x:c r="D57" s="46" t="n">
        <x:v>46282.64236111111</x:v>
      </x:c>
      <x:c r="E57" s="46" t="n">
        <x:v>46282.65277777778</x:v>
      </x:c>
      <x:c r="F57" s="45" t="str">
        <x:v>Caminata</x:v>
      </x:c>
      <x:c r="G57" s="54" t="str">
        <x:v>Biblioteca → Grand Central</x:v>
      </x:c>
      <x:c r="H57" s="54" t="str">
        <x:v>Tramo corto por 42nd hacia el este.</x:v>
      </x:c>
      <x:c r="I57" s="54" t="str">
        <x:v>A pie</x:v>
      </x:c>
      <x:c r="J57" s="54" t="n">
        <x:v>0</x:v>
      </x:c>
      <x:c r="K57" s="54" t="n">
        <x:v>0</x:v>
      </x:c>
      <x:c r="L57" s="54" t="n">
        <x:v>5</x:v>
      </x:c>
      <x:c r="M57" s="54" t="n">
        <x:f>IF(OR(D57="",E57=""),"",ROUND((E57-D57)*1440,0))</x:f>
        <x:v>15</x:v>
      </x:c>
      <x:c r="N57" s="54" t="str">
        <x:v>Importante</x:v>
      </x:c>
      <x:c r="O57" s="54" t="str">
        <x:v>No</x:v>
      </x:c>
      <x:c r="P57" s="54" t="str"/>
      <x:c r="Q57" s="54" t="str">
        <x:v>No</x:v>
      </x:c>
      <x:c r="R57" s="54" t="str">
        <x:v>GRAND_CENTRAL</x:v>
      </x:c>
      <x:c r="S57" s="54" t="str">
        <x:v>Grand Central Terminal, New York, NY</x:v>
      </x:c>
      <x:c r="T57" s="54" t="str">
        <x:v>https://www.google.com/maps/search/?api=1&amp;query=Grand+Central+Terminal%2C+New+York%2C+NY</x:v>
      </x:c>
      <x:c r="U57" s="54" t="str"/>
      <x:c r="V57" s="54" t="str"/>
    </x:row>
    <x:row r="58" ht="48" customHeight="1">
      <x:c r="A58" s="45" t="str">
        <x:v>Jue 17</x:v>
      </x:c>
      <x:c r="B58" s="62" t="n">
        <x:v>46282</x:v>
      </x:c>
      <x:c r="C58" s="45" t="n">
        <x:v>14</x:v>
      </x:c>
      <x:c r="D58" s="46" t="n">
        <x:v>46282.65277777778</x:v>
      </x:c>
      <x:c r="E58" s="46" t="n">
        <x:v>46282.6875</x:v>
      </x:c>
      <x:c r="F58" s="45" t="str">
        <x:v>Visita</x:v>
      </x:c>
      <x:c r="G58" s="54" t="str">
        <x:v>Grand Central Terminal</x:v>
      </x:c>
      <x:c r="H58" s="54" t="str">
        <x:v>Main Concourse, reloj, techo, Whispering Gallery y Chrysler Building desde afuera.</x:v>
      </x:c>
      <x:c r="I58" s="54" t="str">
        <x:v>A pie</x:v>
      </x:c>
      <x:c r="J58" s="54" t="n">
        <x:v>50</x:v>
      </x:c>
      <x:c r="K58" s="54" t="n">
        <x:v>10</x:v>
      </x:c>
      <x:c r="L58" s="54" t="n">
        <x:v>10</x:v>
      </x:c>
      <x:c r="M58" s="54" t="n">
        <x:f>IF(OR(D58="",E58=""),"",ROUND((E58-D58)*1440,0))</x:f>
        <x:v>50</x:v>
      </x:c>
      <x:c r="N58" s="54" t="str">
        <x:v>Esencial</x:v>
      </x:c>
      <x:c r="O58" s="54" t="str">
        <x:v>No</x:v>
      </x:c>
      <x:c r="P58" s="54" t="str"/>
      <x:c r="Q58" s="54" t="str">
        <x:v>No</x:v>
      </x:c>
      <x:c r="R58" s="54" t="str">
        <x:v>GRAND_CENTRAL</x:v>
      </x:c>
      <x:c r="S58" s="54" t="str">
        <x:v>Grand Central Terminal, New York, NY</x:v>
      </x:c>
      <x:c r="T58" s="54" t="str">
        <x:v>https://www.google.com/maps/search/?api=1&amp;query=Grand+Central+Terminal%2C+New+York%2C+NY</x:v>
      </x:c>
      <x:c r="U58" s="54" t="str"/>
      <x:c r="V58" s="54" t="str"/>
    </x:row>
    <x:row r="59" ht="48" customHeight="1">
      <x:c r="A59" s="45" t="str">
        <x:v>Jue 17</x:v>
      </x:c>
      <x:c r="B59" s="62" t="n">
        <x:v>46282</x:v>
      </x:c>
      <x:c r="C59" s="45" t="n">
        <x:v>15</x:v>
      </x:c>
      <x:c r="D59" s="46" t="n">
        <x:v>46282.6875</x:v>
      </x:c>
      <x:c r="E59" s="46" t="n">
        <x:v>46282.708333333336</x:v>
      </x:c>
      <x:c r="F59" s="45" t="str">
        <x:v>Buffer / descanso</x:v>
      </x:c>
      <x:c r="G59" s="54" t="str">
        <x:v>Café, baño y acceso a SUMMIT</x:v>
      </x:c>
      <x:c r="H59" s="54" t="str">
        <x:v>Treinta minutos protegidos. No sacrificarlos por meter otro destino. Si la reserva es 17:30, este margen puede crecer.</x:v>
      </x:c>
      <x:c r="I59" s="54" t="str"/>
      <x:c r="J59" s="54" t="n">
        <x:v>0</x:v>
      </x:c>
      <x:c r="K59" s="54" t="n">
        <x:v>20</x:v>
      </x:c>
      <x:c r="L59" s="54" t="n">
        <x:v>30</x:v>
      </x:c>
      <x:c r="M59" s="54" t="n">
        <x:f>IF(OR(D59="",E59=""),"",ROUND((E59-D59)*1440,0))</x:f>
        <x:v>30</x:v>
      </x:c>
      <x:c r="N59" s="54" t="str">
        <x:v>Esencial</x:v>
      </x:c>
      <x:c r="O59" s="54" t="str">
        <x:v>No</x:v>
      </x:c>
      <x:c r="P59" s="54" t="str"/>
      <x:c r="Q59" s="54" t="str">
        <x:v>No</x:v>
      </x:c>
      <x:c r="R59" s="54" t="str">
        <x:v>SUMMIT</x:v>
      </x:c>
      <x:c r="S59" s="54" t="str">
        <x:v>SUMMIT One Vanderbilt, New York, NY</x:v>
      </x:c>
      <x:c r="T59" s="54" t="str">
        <x:v>https://www.google.com/maps/search/?api=1&amp;query=SUMMIT+One+Vanderbilt%2C+New+York%2C+NY</x:v>
      </x:c>
      <x:c r="U59" s="54" t="str"/>
      <x:c r="V59" s="54" t="str"/>
    </x:row>
    <x:row r="60" ht="48" customHeight="1">
      <x:c r="A60" s="45" t="str">
        <x:v>Jue 17</x:v>
      </x:c>
      <x:c r="B60" s="62" t="n">
        <x:v>46282</x:v>
      </x:c>
      <x:c r="C60" s="45" t="n">
        <x:v>16</x:v>
      </x:c>
      <x:c r="D60" s="46"/>
      <x:c r="E60" s="46"/>
      <x:c r="F60" s="45" t="str">
        <x:v>Bonus no programado</x:v>
      </x:c>
      <x:c r="G60" s="54" t="str">
        <x:v>Tudor City Bridge</x:v>
      </x:c>
      <x:c r="H60" s="54" t="str">
        <x:v>Sólo si van &gt;40 min adelantados y la reserva de SUMMIT lo permite. Debe REEMPLAZAR SNFL o parte de un margen; nunca apilarse encima del plan.</x:v>
      </x:c>
      <x:c r="I60" s="54" t="str">
        <x:v>A pie</x:v>
      </x:c>
      <x:c r="J60" s="54" t="n">
        <x:v>20</x:v>
      </x:c>
      <x:c r="K60" s="54" t="n">
        <x:v>0</x:v>
      </x:c>
      <x:c r="L60" s="54" t="n">
        <x:v>0</x:v>
      </x:c>
      <x:c r="M60" s="54" t="str">
        <x:f>IF(OR(D60="",E60=""),"",ROUND((E60-D60)*1440,0))</x:f>
      </x:c>
      <x:c r="N60" s="54" t="str">
        <x:v>Bonus</x:v>
      </x:c>
      <x:c r="O60" s="54" t="str">
        <x:v>Sí</x:v>
      </x:c>
      <x:c r="P60" s="54" t="str">
        <x:v>1</x:v>
      </x:c>
      <x:c r="Q60" s="54" t="str">
        <x:v>Sí</x:v>
      </x:c>
      <x:c r="R60" s="54" t="str">
        <x:v>TUDOR_BRIDGE</x:v>
      </x:c>
      <x:c r="S60" s="54" t="str">
        <x:v>Tudor City Bridge, East 42nd Street, New York, NY</x:v>
      </x:c>
      <x:c r="T60" s="54" t="str">
        <x:v>https://www.google.com/maps/search/?api=1&amp;query=Tudor+City+Bridge%2C+East+42nd+Street%2C+New+York%2C+NY</x:v>
      </x:c>
      <x:c r="U60" s="54" t="str"/>
      <x:c r="V60" s="54" t="str">
        <x:v>No forma parte del itinerario base.</x:v>
      </x:c>
    </x:row>
    <x:row r="61" ht="48" customHeight="1">
      <x:c r="A61" s="45" t="str">
        <x:v>Jue 17</x:v>
      </x:c>
      <x:c r="B61" s="62" t="n">
        <x:v>46282</x:v>
      </x:c>
      <x:c r="C61" s="45" t="n">
        <x:v>17</x:v>
      </x:c>
      <x:c r="D61" s="46" t="n">
        <x:v>46282.708333333336</x:v>
      </x:c>
      <x:c r="E61" s="46" t="n">
        <x:v>46282.791666666664</x:v>
      </x:c>
      <x:c r="F61" s="45" t="str">
        <x:v>Atracción</x:v>
      </x:c>
      <x:c r="G61" s="54" t="str">
        <x:v>SUMMIT One Vanderbilt</x:v>
      </x:c>
      <x:c r="H61" s="54" t="str">
        <x:v>Mirador principal. Reservar dos horas para seis personas, fotos y desplazamientos. Objetivo 17:00–17:30.</x:v>
      </x:c>
      <x:c r="I61" s="54" t="str"/>
      <x:c r="J61" s="54" t="n">
        <x:v>120</x:v>
      </x:c>
      <x:c r="K61" s="54" t="n">
        <x:v>10</x:v>
      </x:c>
      <x:c r="L61" s="54" t="n">
        <x:v>10</x:v>
      </x:c>
      <x:c r="M61" s="54" t="n">
        <x:f>IF(OR(D61="",E61=""),"",ROUND((E61-D61)*1440,0))</x:f>
        <x:v>120</x:v>
      </x:c>
      <x:c r="N61" s="54" t="str">
        <x:v>Esencial</x:v>
      </x:c>
      <x:c r="O61" s="54" t="str">
        <x:v>No</x:v>
      </x:c>
      <x:c r="P61" s="54" t="str"/>
      <x:c r="Q61" s="54" t="str">
        <x:v>No</x:v>
      </x:c>
      <x:c r="R61" s="54" t="str">
        <x:v>SUMMIT</x:v>
      </x:c>
      <x:c r="S61" s="54" t="str">
        <x:v>SUMMIT One Vanderbilt, New York, NY</x:v>
      </x:c>
      <x:c r="T61" s="54" t="str">
        <x:v>https://www.google.com/maps/search/?api=1&amp;query=SUMMIT+One+Vanderbilt%2C+New+York%2C+NY</x:v>
      </x:c>
      <x:c r="U61" s="54" t="str"/>
      <x:c r="V61" s="54" t="str"/>
    </x:row>
    <x:row r="62" ht="48" customHeight="1">
      <x:c r="A62" s="45" t="str">
        <x:v>Jue 17</x:v>
      </x:c>
      <x:c r="B62" s="62" t="n">
        <x:v>46282</x:v>
      </x:c>
      <x:c r="C62" s="45" t="n">
        <x:v>18</x:v>
      </x:c>
      <x:c r="D62" s="46" t="n">
        <x:v>46282.791666666664</x:v>
      </x:c>
      <x:c r="E62" s="46" t="n">
        <x:v>46282.8125</x:v>
      </x:c>
      <x:c r="F62" s="45" t="str">
        <x:v>Buffer</x:v>
      </x:c>
      <x:c r="G62" s="54" t="str">
        <x:v>Salida de SUMMIT</x:v>
      </x:c>
      <x:c r="H62" s="54" t="str">
        <x:v>Baño, gift shop si quieren, ascensores y margen de salida. No encadenar cena con reloj.</x:v>
      </x:c>
      <x:c r="I62" s="54" t="str"/>
      <x:c r="J62" s="54" t="n">
        <x:v>0</x:v>
      </x:c>
      <x:c r="K62" s="54" t="n">
        <x:v>10</x:v>
      </x:c>
      <x:c r="L62" s="54" t="n">
        <x:v>30</x:v>
      </x:c>
      <x:c r="M62" s="54" t="n">
        <x:f>IF(OR(D62="",E62=""),"",ROUND((E62-D62)*1440,0))</x:f>
        <x:v>30</x:v>
      </x:c>
      <x:c r="N62" s="54" t="str">
        <x:v>Importante</x:v>
      </x:c>
      <x:c r="O62" s="54" t="str">
        <x:v>No</x:v>
      </x:c>
      <x:c r="P62" s="54" t="str"/>
      <x:c r="Q62" s="54" t="str">
        <x:v>No</x:v>
      </x:c>
      <x:c r="R62" s="54" t="str">
        <x:v>SUMMIT</x:v>
      </x:c>
      <x:c r="S62" s="54" t="str">
        <x:v>SUMMIT One Vanderbilt, New York, NY</x:v>
      </x:c>
      <x:c r="T62" s="54" t="str">
        <x:v>https://www.google.com/maps/search/?api=1&amp;query=SUMMIT+One+Vanderbilt%2C+New+York%2C+NY</x:v>
      </x:c>
      <x:c r="U62" s="54" t="str"/>
      <x:c r="V62" s="54" t="str"/>
    </x:row>
    <x:row r="63" ht="48" customHeight="1">
      <x:c r="A63" s="45" t="str">
        <x:v>Jue 17</x:v>
      </x:c>
      <x:c r="B63" s="62" t="n">
        <x:v>46282</x:v>
      </x:c>
      <x:c r="C63" s="45" t="n">
        <x:v>19</x:v>
      </x:c>
      <x:c r="D63" s="46" t="n">
        <x:v>46282.8125</x:v>
      </x:c>
      <x:c r="E63" s="46" t="n">
        <x:v>46282.875</x:v>
      </x:c>
      <x:c r="F63" s="45" t="str">
        <x:v>Cena / regreso</x:v>
      </x:c>
      <x:c r="G63" s="54" t="str">
        <x:v>Cena + Chelsea + valijas</x:v>
      </x:c>
      <x:c r="H63" s="54" t="str">
        <x:v>Cena por Midtown o regreso a Chelsea. Después, valijas. No sumar otra actividad.</x:v>
      </x:c>
      <x:c r="I63" s="54" t="str"/>
      <x:c r="J63" s="54" t="n">
        <x:v>0</x:v>
      </x:c>
      <x:c r="K63" s="54" t="n">
        <x:v>70</x:v>
      </x:c>
      <x:c r="L63" s="54" t="n">
        <x:v>20</x:v>
      </x:c>
      <x:c r="M63" s="54" t="n">
        <x:f>IF(OR(D63="",E63=""),"",ROUND((E63-D63)*1440,0))</x:f>
        <x:v>90</x:v>
      </x:c>
      <x:c r="N63" s="54" t="str">
        <x:v>Esencial</x:v>
      </x:c>
      <x:c r="O63" s="54" t="str">
        <x:v>No</x:v>
      </x:c>
      <x:c r="P63" s="54" t="str"/>
      <x:c r="Q63" s="54" t="str">
        <x:v>No</x:v>
      </x:c>
      <x:c r="R63" s="54" t="str">
        <x:v>CHELSEA_BASE</x:v>
      </x:c>
      <x:c r="S63" s="54" t="str">
        <x:v>8th Avenue &amp; West 18th Street, New York, NY</x:v>
      </x:c>
      <x:c r="T63" s="54" t="str">
        <x:v>https://www.google.com/maps/search/?api=1&amp;query=8th+Avenue+%26+West+18th+Street%2C+New+York%2C+NY</x:v>
      </x:c>
      <x:c r="U63" s="54" t="str"/>
      <x:c r="V63" s="54" t="str"/>
    </x:row>
    <x:row r="64" ht="48" customHeight="1">
      <x:c r="A64" s="45" t="str">
        <x:v>Vie 18</x:v>
      </x:c>
      <x:c r="B64" s="62" t="n">
        <x:v>46283</x:v>
      </x:c>
      <x:c r="C64" s="45" t="n">
        <x:v>1</x:v>
      </x:c>
      <x:c r="D64" s="46" t="n">
        <x:v>46283.34375</x:v>
      </x:c>
      <x:c r="E64" s="46" t="n">
        <x:v>46283.350694444445</x:v>
      </x:c>
      <x:c r="F64" s="45" t="str">
        <x:v>Caminata</x:v>
      </x:c>
      <x:c r="G64" s="54" t="str">
        <x:v>Departamento → 14 St-8 Av</x:v>
      </x:c>
      <x:c r="H64" s="54" t="str">
        <x:v>Salir a las 08:15. Las 08:30 son límite prudente, no la hora ideal.</x:v>
      </x:c>
      <x:c r="I64" s="54" t="str">
        <x:v>A pie</x:v>
      </x:c>
      <x:c r="J64" s="54" t="n">
        <x:v>0</x:v>
      </x:c>
      <x:c r="K64" s="54" t="n">
        <x:v>0</x:v>
      </x:c>
      <x:c r="L64" s="54" t="n">
        <x:v>5</x:v>
      </x:c>
      <x:c r="M64" s="54" t="n">
        <x:f>IF(OR(D64="",E64=""),"",ROUND((E64-D64)*1440,0))</x:f>
        <x:v>10</x:v>
      </x:c>
      <x:c r="N64" s="54" t="str">
        <x:v>Esencial</x:v>
      </x:c>
      <x:c r="O64" s="54" t="str">
        <x:v>No</x:v>
      </x:c>
      <x:c r="P64" s="54" t="str"/>
      <x:c r="Q64" s="54" t="str">
        <x:v>No</x:v>
      </x:c>
      <x:c r="R64" s="54" t="str">
        <x:v>STATION_14_8</x:v>
      </x:c>
      <x:c r="S64" s="54" t="str">
        <x:v>14 St–8 Av Subway Station, New York, NY</x:v>
      </x:c>
      <x:c r="T64" s="54" t="str">
        <x:v>https://www.google.com/maps/search/?api=1&amp;query=14+St%E2%80%938+Av+Subway+Station%2C+New+York%2C+NY</x:v>
      </x:c>
      <x:c r="U64" s="54" t="str"/>
      <x:c r="V64" s="54" t="str"/>
    </x:row>
    <x:row r="65" ht="48" customHeight="1">
      <x:c r="A65" s="45" t="str">
        <x:v>Vie 18</x:v>
      </x:c>
      <x:c r="B65" s="62" t="n">
        <x:v>46283</x:v>
      </x:c>
      <x:c r="C65" s="45" t="n">
        <x:v>2</x:v>
      </x:c>
      <x:c r="D65" s="46" t="n">
        <x:v>46283.350694444445</x:v>
      </x:c>
      <x:c r="E65" s="46" t="n">
        <x:v>46283.368055555555</x:v>
      </x:c>
      <x:c r="F65" s="45" t="str">
        <x:v>Traslado</x:v>
      </x:c>
      <x:c r="G65" s="54" t="str">
        <x:v>Metro E → Penn Station</x:v>
      </x:c>
      <x:c r="H65" s="54" t="str">
        <x:v>Bajar en 34 St-Penn Station.</x:v>
      </x:c>
      <x:c r="I65" s="54" t="str">
        <x:v>Metro E</x:v>
      </x:c>
      <x:c r="J65" s="54" t="n">
        <x:v>0</x:v>
      </x:c>
      <x:c r="K65" s="54" t="n">
        <x:v>10</x:v>
      </x:c>
      <x:c r="L65" s="54" t="n">
        <x:v>5</x:v>
      </x:c>
      <x:c r="M65" s="54" t="n">
        <x:f>IF(OR(D65="",E65=""),"",ROUND((E65-D65)*1440,0))</x:f>
        <x:v>25</x:v>
      </x:c>
      <x:c r="N65" s="54" t="str">
        <x:v>Esencial</x:v>
      </x:c>
      <x:c r="O65" s="54" t="str">
        <x:v>No</x:v>
      </x:c>
      <x:c r="P65" s="54" t="str"/>
      <x:c r="Q65" s="54" t="str">
        <x:v>No</x:v>
      </x:c>
      <x:c r="R65" s="54" t="str">
        <x:v>PENN</x:v>
      </x:c>
      <x:c r="S65" s="54" t="str">
        <x:v>Penn Station, New York, NY</x:v>
      </x:c>
      <x:c r="T65" s="54" t="str">
        <x:v>https://www.google.com/maps/search/?api=1&amp;query=Penn+Station%2C+New+York%2C+NY</x:v>
      </x:c>
      <x:c r="U65" s="54" t="str"/>
      <x:c r="V65" s="54" t="str"/>
    </x:row>
    <x:row r="66" ht="48" customHeight="1">
      <x:c r="A66" s="45" t="str">
        <x:v>Vie 18</x:v>
      </x:c>
      <x:c r="B66" s="62" t="n">
        <x:v>46283</x:v>
      </x:c>
      <x:c r="C66" s="45" t="n">
        <x:v>3</x:v>
      </x:c>
      <x:c r="D66" s="46" t="n">
        <x:v>46283.368055555555</x:v>
      </x:c>
      <x:c r="E66" s="46" t="n">
        <x:v>46283.375</x:v>
      </x:c>
      <x:c r="F66" s="45" t="str">
        <x:v>Buffer</x:v>
      </x:c>
      <x:c r="G66" s="54" t="str">
        <x:v>Conexión en Penn</x:v>
      </x:c>
      <x:c r="H66" s="54" t="str">
        <x:v>Margen para ascensores, cochecito y ubicar el LIRR.</x:v>
      </x:c>
      <x:c r="I66" s="54" t="str"/>
      <x:c r="J66" s="54" t="n">
        <x:v>0</x:v>
      </x:c>
      <x:c r="K66" s="54" t="n">
        <x:v>0</x:v>
      </x:c>
      <x:c r="L66" s="54" t="n">
        <x:v>10</x:v>
      </x:c>
      <x:c r="M66" s="54" t="n">
        <x:f>IF(OR(D66="",E66=""),"",ROUND((E66-D66)*1440,0))</x:f>
        <x:v>10</x:v>
      </x:c>
      <x:c r="N66" s="54" t="str">
        <x:v>Esencial</x:v>
      </x:c>
      <x:c r="O66" s="54" t="str">
        <x:v>No</x:v>
      </x:c>
      <x:c r="P66" s="54" t="str"/>
      <x:c r="Q66" s="54" t="str">
        <x:v>No</x:v>
      </x:c>
      <x:c r="R66" s="54" t="str">
        <x:v>PENN</x:v>
      </x:c>
      <x:c r="S66" s="54" t="str">
        <x:v>Penn Station, New York, NY</x:v>
      </x:c>
      <x:c r="T66" s="54" t="str">
        <x:v>https://www.google.com/maps/search/?api=1&amp;query=Penn+Station%2C+New+York%2C+NY</x:v>
      </x:c>
      <x:c r="U66" s="54" t="str"/>
      <x:c r="V66" s="54" t="str"/>
    </x:row>
    <x:row r="67" ht="48" customHeight="1">
      <x:c r="A67" s="45" t="str">
        <x:v>Vie 18</x:v>
      </x:c>
      <x:c r="B67" s="62" t="n">
        <x:v>46283</x:v>
      </x:c>
      <x:c r="C67" s="45" t="n">
        <x:v>4</x:v>
      </x:c>
      <x:c r="D67" s="46" t="n">
        <x:v>46283.375</x:v>
      </x:c>
      <x:c r="E67" s="46" t="n">
        <x:v>46283.395833333336</x:v>
      </x:c>
      <x:c r="F67" s="45" t="str">
        <x:v>Traslado</x:v>
      </x:c>
      <x:c r="G67" s="54" t="str">
        <x:v>LIRR → Jamaica</x:v>
      </x:c>
      <x:c r="H67" s="54" t="str">
        <x:v>Tomar el primer tren conveniente.</x:v>
      </x:c>
      <x:c r="I67" s="54" t="str">
        <x:v>LIRR</x:v>
      </x:c>
      <x:c r="J67" s="54" t="n">
        <x:v>0</x:v>
      </x:c>
      <x:c r="K67" s="54" t="n">
        <x:v>20</x:v>
      </x:c>
      <x:c r="L67" s="54" t="n">
        <x:v>5</x:v>
      </x:c>
      <x:c r="M67" s="54" t="n">
        <x:f>IF(OR(D67="",E67=""),"",ROUND((E67-D67)*1440,0))</x:f>
        <x:v>30</x:v>
      </x:c>
      <x:c r="N67" s="54" t="str">
        <x:v>Esencial</x:v>
      </x:c>
      <x:c r="O67" s="54" t="str">
        <x:v>No</x:v>
      </x:c>
      <x:c r="P67" s="54" t="str"/>
      <x:c r="Q67" s="54" t="str">
        <x:v>No</x:v>
      </x:c>
      <x:c r="R67" s="54" t="str">
        <x:v>JAMAICA</x:v>
      </x:c>
      <x:c r="S67" s="54" t="str">
        <x:v>Jamaica Station, Queens, NY</x:v>
      </x:c>
      <x:c r="T67" s="54" t="str">
        <x:v>https://www.google.com/maps/search/?api=1&amp;query=Jamaica+Station%2C+Queens%2C+NY</x:v>
      </x:c>
      <x:c r="U67" s="54" t="str"/>
      <x:c r="V67" s="54" t="str"/>
    </x:row>
    <x:row r="68" ht="48" customHeight="1">
      <x:c r="A68" s="45" t="str">
        <x:v>Vie 18</x:v>
      </x:c>
      <x:c r="B68" s="62" t="n">
        <x:v>46283</x:v>
      </x:c>
      <x:c r="C68" s="45" t="n">
        <x:v>5</x:v>
      </x:c>
      <x:c r="D68" s="46" t="n">
        <x:v>46283.395833333336</x:v>
      </x:c>
      <x:c r="E68" s="46" t="n">
        <x:v>46283.40972222222</x:v>
      </x:c>
      <x:c r="F68" s="45" t="str">
        <x:v>Traslado</x:v>
      </x:c>
      <x:c r="G68" s="54" t="str">
        <x:v>AirTrain → terminal JFK</x:v>
      </x:c>
      <x:c r="H68" s="54" t="str">
        <x:v>Confirmar terminal la noche anterior.</x:v>
      </x:c>
      <x:c r="I68" s="54" t="str">
        <x:v>AirTrain</x:v>
      </x:c>
      <x:c r="J68" s="54" t="n">
        <x:v>0</x:v>
      </x:c>
      <x:c r="K68" s="54" t="n">
        <x:v>10</x:v>
      </x:c>
      <x:c r="L68" s="54" t="n">
        <x:v>5</x:v>
      </x:c>
      <x:c r="M68" s="54" t="n">
        <x:f>IF(OR(D68="",E68=""),"",ROUND((E68-D68)*1440,0))</x:f>
        <x:v>20</x:v>
      </x:c>
      <x:c r="N68" s="54" t="str">
        <x:v>Esencial</x:v>
      </x:c>
      <x:c r="O68" s="54" t="str">
        <x:v>No</x:v>
      </x:c>
      <x:c r="P68" s="54" t="str"/>
      <x:c r="Q68" s="54" t="str">
        <x:v>No</x:v>
      </x:c>
      <x:c r="R68" s="54" t="str">
        <x:v>JFK</x:v>
      </x:c>
      <x:c r="S68" s="54" t="str">
        <x:v>John F. Kennedy International Airport</x:v>
      </x:c>
      <x:c r="T68" s="54" t="str">
        <x:v>https://www.google.com/maps/search/?api=1&amp;query=John+F.+Kennedy+International+Airport</x:v>
      </x:c>
      <x:c r="U68" s="54" t="str"/>
      <x:c r="V68" s="54" t="str"/>
    </x:row>
    <x:row r="69" ht="48" customHeight="1">
      <x:c r="A69" s="45" t="str">
        <x:v>Vie 18</x:v>
      </x:c>
      <x:c r="B69" s="62" t="n">
        <x:v>46283</x:v>
      </x:c>
      <x:c r="C69" s="45" t="n">
        <x:v>6</x:v>
      </x:c>
      <x:c r="D69" s="46" t="n">
        <x:v>46283.40972222222</x:v>
      </x:c>
      <x:c r="E69" s="46" t="n">
        <x:v>46283.427083333336</x:v>
      </x:c>
      <x:c r="F69" s="45" t="str">
        <x:v>Buffer</x:v>
      </x:c>
      <x:c r="G69" s="54" t="str">
        <x:v>Llegada estimada a JFK</x:v>
      </x:c>
      <x:c r="H69" s="54" t="str">
        <x:v>Margen de llegada antes de seguridad/check-in.</x:v>
      </x:c>
      <x:c r="I69" s="54" t="str"/>
      <x:c r="J69" s="54" t="n">
        <x:v>0</x:v>
      </x:c>
      <x:c r="K69" s="54" t="n">
        <x:v>0</x:v>
      </x:c>
      <x:c r="L69" s="54" t="n">
        <x:v>25</x:v>
      </x:c>
      <x:c r="M69" s="54" t="n">
        <x:f>IF(OR(D69="",E69=""),"",ROUND((E69-D69)*1440,0))</x:f>
        <x:v>25</x:v>
      </x:c>
      <x:c r="N69" s="54" t="str">
        <x:v>Esencial</x:v>
      </x:c>
      <x:c r="O69" s="54" t="str">
        <x:v>No</x:v>
      </x:c>
      <x:c r="P69" s="54" t="str"/>
      <x:c r="Q69" s="54" t="str">
        <x:v>No</x:v>
      </x:c>
      <x:c r="R69" s="54" t="str">
        <x:v>JFK</x:v>
      </x:c>
      <x:c r="S69" s="54" t="str">
        <x:v>John F. Kennedy International Airport</x:v>
      </x:c>
      <x:c r="T69" s="54" t="str">
        <x:v>https://www.google.com/maps/search/?api=1&amp;query=John+F.+Kennedy+International+Airport</x:v>
      </x:c>
      <x:c r="U69" s="54" t="str"/>
      <x:c r="V69" s="54" t="str"/>
    </x:row>
    <x:row r="70" ht="48" customHeight="1">
      <x:c r="A70" s="45" t="str">
        <x:v>Vie 18</x:v>
      </x:c>
      <x:c r="B70" s="62" t="n">
        <x:v>46283</x:v>
      </x:c>
      <x:c r="C70" s="45" t="n">
        <x:v>7</x:v>
      </x:c>
      <x:c r="D70" s="46" t="n">
        <x:v>46283.427083333336</x:v>
      </x:c>
      <x:c r="E70" s="46" t="n">
        <x:v>46283.520833333336</x:v>
      </x:c>
      <x:c r="F70" s="45" t="str">
        <x:v>Aeropuerto</x:v>
      </x:c>
      <x:c r="G70" s="54" t="str">
        <x:v>Seguridad + puerta + embarque</x:v>
      </x:c>
      <x:c r="H70" s="54" t="str">
        <x:v>Bloque protegido para equipaje, seguridad, baño, comida y posibles demoras. Vuelo ~12:30.</x:v>
      </x:c>
      <x:c r="I70" s="54" t="str"/>
      <x:c r="J70" s="54" t="n">
        <x:v>0</x:v>
      </x:c>
      <x:c r="K70" s="54" t="n">
        <x:v>60</x:v>
      </x:c>
      <x:c r="L70" s="54" t="n">
        <x:v>60</x:v>
      </x:c>
      <x:c r="M70" s="54" t="n">
        <x:f>IF(OR(D70="",E70=""),"",ROUND((E70-D70)*1440,0))</x:f>
        <x:v>135</x:v>
      </x:c>
      <x:c r="N70" s="54" t="str">
        <x:v>Esencial</x:v>
      </x:c>
      <x:c r="O70" s="54" t="str">
        <x:v>No</x:v>
      </x:c>
      <x:c r="P70" s="54" t="str"/>
      <x:c r="Q70" s="54" t="str">
        <x:v>No</x:v>
      </x:c>
      <x:c r="R70" s="54" t="str">
        <x:v>JFK</x:v>
      </x:c>
      <x:c r="S70" s="54" t="str">
        <x:v>John F. Kennedy International Airport</x:v>
      </x:c>
      <x:c r="T70" s="54" t="str">
        <x:v>https://www.google.com/maps/search/?api=1&amp;query=John+F.+Kennedy+International+Airport</x:v>
      </x:c>
      <x:c r="U70" s="54" t="str"/>
      <x:c r="V70" s="54" t="str"/>
    </x:row>
  </x:sheetData>
  <x:conditionalFormatting sqref="Q2:Q70">
    <x:cfRule type="expression" dxfId="0" priority="1">
      <x:formula>Q2="Sí"</x:formula>
    </x:cfRule>
  </x:conditionalFormatting>
  <x:conditionalFormatting sqref="O2:O70">
    <x:cfRule type="expression" dxfId="1" priority="2">
      <x:formula>O2="Sí"</x:formula>
    </x:cfRule>
  </x:conditionalFormatting>
  <x:conditionalFormatting sqref="L2:L70">
    <x:cfRule type="dataBar" priority="3">
      <x:dataBar>
        <x:cfvo type="min"/>
        <x:cfvo type="max"/>
        <x:color rgb="FFE0A23B"/>
      </x:dataBar>
      <x:extLst>
        <x:ext xmlns:x14="http://schemas.microsoft.com/office/spreadsheetml/2009/9/main" uri="{B025F937-C7B1-47D3-B67F-A62EFF666E3E}">
          <x14:id>{151C9102-85DC-B515-8E06-17B259102344}</x14:id>
        </x:ext>
      </x:extLst>
    </x:cfRule>
  </x:conditionalFormatting>
  <x:conditionalFormatting sqref="K2:K70">
    <x:cfRule type="dataBar" priority="4">
      <x:dataBar>
        <x:cfvo type="min"/>
        <x:cfvo type="max"/>
        <x:color rgb="FF63A8B8"/>
      </x:dataBar>
      <x:extLst>
        <x:ext xmlns:x14="http://schemas.microsoft.com/office/spreadsheetml/2009/9/main" uri="{B025F937-C7B1-47D3-B67F-A62EFF666E3E}">
          <x14:id>{F82A14DB-A6FD-2FFF-F0E8-4D45EF4632F7}</x14:id>
        </x:ext>
      </x:extLst>
    </x:cfRule>
  </x:conditionalFormatting>
  <x:dataValidations count="3">
    <x:dataValidation type="list" sqref="N2:N70">
      <x:formula1>'99_Parametros'!$F$2:$F$5</x:formula1>
    </x:dataValidation>
    <x:dataValidation type="list" sqref="O2:O70">
      <x:formula1>'99_Parametros'!$G$2:$G$3</x:formula1>
    </x:dataValidation>
    <x:dataValidation type="list" sqref="Q2:Q70">
      <x:formula1>'99_Parametros'!$G$2:$G$3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4219c5c290471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51C9102-85DC-B515-8E06-17B259102344}">
            <x14:dataBar gradient="1">
              <x14:cfvo type="min"/>
              <x14:cfvo type="max"/>
              <x14:fillColor rgb="FFE0A23B"/>
            </x14:dataBar>
          </x14:cfRule>
          <xm:sqref>L2:L70</xm:sqref>
        </x14:conditionalFormatting>
        <x14:conditionalFormatting>
          <x14:cfRule type="dataBar" priority="4" id="{F82A14DB-A6FD-2FFF-F0E8-4D45EF4632F7}">
            <x14:dataBar gradient="1">
              <x14:cfvo type="min"/>
              <x14:cfvo type="max"/>
              <x14:fillColor rgb="FF63A8B8"/>
            </x14:dataBar>
          </x14:cfRule>
          <xm:sqref>K2:K70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42" hidden="0" customWidth="1"/>
    <x:col min="4" max="4" width="38" hidden="0" customWidth="1"/>
    <x:col min="5" max="5" width="22" hidden="0" customWidth="1"/>
    <x:col min="6" max="6" width="14" hidden="0" customWidth="1"/>
    <x:col min="7" max="7" width="9" hidden="0" customWidth="1"/>
    <x:col min="8" max="8" width="13" hidden="0" customWidth="1"/>
    <x:col min="9" max="9" width="12" hidden="0" customWidth="1"/>
    <x:col min="10" max="10" width="12" hidden="0" customWidth="1"/>
    <x:col min="11" max="11" width="16" hidden="0" customWidth="1"/>
    <x:col min="12" max="12" width="26" hidden="0" customWidth="1"/>
    <x:col min="13" max="13" width="40" hidden="0" customWidth="1"/>
    <x:col min="14" max="14" width="28" hidden="0" customWidth="1"/>
    <x:col min="15" max="15" width="12" hidden="0" customWidth="1"/>
    <x:col min="16" max="16" width="34" hidden="0" customWidth="1"/>
    <x:col min="17" max="17" width="22" hidden="0" customWidth="1"/>
    <x:col min="18" max="18" width="18" hidden="0" customWidth="1"/>
  </x:cols>
  <x:sheetData>
    <x:row r="1">
      <x:c r="A1" s="31" t="str">
        <x:v>Map_ID</x:v>
      </x:c>
      <x:c r="B1" s="31" t="str">
        <x:v>Lugar</x:v>
      </x:c>
      <x:c r="C1" s="31" t="str">
        <x:v>Query geocoder</x:v>
      </x:c>
      <x:c r="D1" s="31" t="str">
        <x:v>Dirección / referencia</x:v>
      </x:c>
      <x:c r="E1" s="31" t="str">
        <x:v>Categoría</x:v>
      </x:c>
      <x:c r="F1" s="31" t="str">
        <x:v>Días</x:v>
      </x:c>
      <x:c r="G1" s="31" t="str">
        <x:v>Nuevo</x:v>
      </x:c>
      <x:c r="H1" s="31" t="str">
        <x:v>Prioridad pin</x:v>
      </x:c>
      <x:c r="I1" s="31" t="str">
        <x:v>Latitud</x:v>
      </x:c>
      <x:c r="J1" s="31" t="str">
        <x:v>Longitud</x:v>
      </x:c>
      <x:c r="K1" s="31" t="str">
        <x:v>Estado geocode</x:v>
      </x:c>
      <x:c r="L1" s="31" t="str">
        <x:v>Abrir en Google Maps</x:v>
      </x:c>
      <x:c r="M1" s="31" t="str">
        <x:v>Notas</x:v>
      </x:c>
      <x:c r="N1" s="31" t="str">
        <x:v>Fuente</x:v>
      </x:c>
      <x:c r="O1" s="80" t="str">
        <x:v>Precisión coord</x:v>
      </x:c>
      <x:c r="P1" s="80" t="str">
        <x:v>Fuente coord / locator</x:v>
      </x:c>
      <x:c r="Q1" s="80" t="str">
        <x:v>Uso en mapa</x:v>
      </x:c>
      <x:c r="R1" s="80" t="str">
        <x:v>Revisar antes de publicar</x:v>
      </x:c>
    </x:row>
    <x:row r="2">
      <x:c r="A2" s="45" t="str">
        <x:v>CHELSEA_BASE</x:v>
      </x:c>
      <x:c r="B2" s="54" t="str">
        <x:v>Base en Chelsea</x:v>
      </x:c>
      <x:c r="C2" s="54" t="str">
        <x:v>8th Avenue &amp; West 18th Street, New York, NY</x:v>
      </x:c>
      <x:c r="D2" s="54" t="str">
        <x:v>8th Ave &amp; W 18th St, New York, NY</x:v>
      </x:c>
      <x:c r="E2" s="54" t="str">
        <x:v>Base</x:v>
      </x:c>
      <x:c r="F2" s="54" t="str">
        <x:v>Dom–Vie</x:v>
      </x:c>
      <x:c r="G2" s="54" t="str">
        <x:v>No</x:v>
      </x:c>
      <x:c r="H2" s="54" t="str">
        <x:v>Alta</x:v>
      </x:c>
      <x:c r="I2" s="81" t="n">
        <x:v>40.74175</x:v>
      </x:c>
      <x:c r="J2" s="81" t="n">
        <x:v>-74.00045</x:v>
      </x:c>
      <x:c r="K2" s="54" t="str">
        <x:v>Listo · media</x:v>
      </x:c>
      <x:c r="L2" s="54" t="str">
        <x:v>https://www.google.com/maps/search/?api=1&amp;query=8th+Avenue+%26+West+18th+Street%2C+New+York%2C+NY</x:v>
      </x:c>
      <x:c r="M2" s="54" t="str">
        <x:v>Departamento: 8th Ave entre W18 y W19. Geocode: Intersección 8th Ave &amp; W18; referencia del alojamiento, no número de puerta.</x:v>
      </x:c>
      <x:c r="N2" s="54" t="str">
        <x:v>Guía PDF original</x:v>
      </x:c>
      <x:c r="O2" s="42" t="str">
        <x:v>Media</x:v>
      </x:c>
      <x:c r="P2" s="42" t="str">
        <x:v>https://www.google.com/maps/search/?api=1&amp;query=8th+Avenue+%26+West+18th+Street%2C+New+York%2C+NY</x:v>
      </x:c>
      <x:c r="Q2" s="42" t="str">
        <x:v>Lat/lon + query geocoder</x:v>
      </x:c>
      <x:c r="R2" s="42" t="str">
        <x:v>Sí</x:v>
      </x:c>
    </x:row>
    <x:row r="3">
      <x:c r="A3" s="45" t="str">
        <x:v>STATION_14_8</x:v>
      </x:c>
      <x:c r="B3" s="54" t="str">
        <x:v>14 St–8 Av</x:v>
      </x:c>
      <x:c r="C3" s="54" t="str">
        <x:v>14 St–8 Av Subway Station, New York, NY</x:v>
      </x:c>
      <x:c r="D3" s="54"/>
      <x:c r="E3" s="54" t="str">
        <x:v>Estación</x:v>
      </x:c>
      <x:c r="F3" s="54" t="str">
        <x:v>Dom–Vie</x:v>
      </x:c>
      <x:c r="G3" s="54" t="str">
        <x:v>No</x:v>
      </x:c>
      <x:c r="H3" s="54" t="str">
        <x:v>Alta</x:v>
      </x:c>
      <x:c r="I3" s="81" t="n">
        <x:v>40.73978</x:v>
      </x:c>
      <x:c r="J3" s="81" t="n">
        <x:v>-74.00258</x:v>
      </x:c>
      <x:c r="K3" s="54" t="str">
        <x:v>Listo · alta</x:v>
      </x:c>
      <x:c r="L3" s="54" t="str">
        <x:v>https://www.google.com/maps/search/?api=1&amp;query=14+St%E2%80%938+Av+Subway+Station%2C+New+York%2C+NY</x:v>
      </x:c>
      <x:c r="M3" s="54" t="str">
        <x:v>Estación clave de la guía. Geocode: Pin de 14 St–8 Av.</x:v>
      </x:c>
      <x:c r="N3" s="54" t="str">
        <x:v>Guía PDF original</x:v>
      </x:c>
      <x:c r="O3" s="42" t="str">
        <x:v>Alta</x:v>
      </x:c>
      <x:c r="P3" s="42" t="str">
        <x:v>https://www.google.com/maps/search/?api=1&amp;query=14+St%E2%80%938+Av+Subway+Station%2C+New+York%2C+NY</x:v>
      </x:c>
      <x:c r="Q3" s="42" t="str">
        <x:v>Lat/lon + query geocoder</x:v>
      </x:c>
      <x:c r="R3" s="42" t="str">
        <x:v>No</x:v>
      </x:c>
    </x:row>
    <x:row r="4">
      <x:c r="A4" s="45" t="str">
        <x:v>JFK</x:v>
      </x:c>
      <x:c r="B4" s="54" t="str">
        <x:v>JFK Airport</x:v>
      </x:c>
      <x:c r="C4" s="54" t="str">
        <x:v>John F. Kennedy International Airport</x:v>
      </x:c>
      <x:c r="D4" s="54"/>
      <x:c r="E4" s="54" t="str">
        <x:v>Aeropuerto</x:v>
      </x:c>
      <x:c r="F4" s="54" t="str">
        <x:v>Dom, Vie</x:v>
      </x:c>
      <x:c r="G4" s="54" t="str">
        <x:v>No</x:v>
      </x:c>
      <x:c r="H4" s="54" t="str">
        <x:v>Alta</x:v>
      </x:c>
      <x:c r="I4" s="81" t="n">
        <x:v>40.64131</x:v>
      </x:c>
      <x:c r="J4" s="81" t="n">
        <x:v>-73.77814</x:v>
      </x:c>
      <x:c r="K4" s="54" t="str">
        <x:v>Listo · alta</x:v>
      </x:c>
      <x:c r="L4" s="54" t="str">
        <x:v>https://www.google.com/maps/search/?api=1&amp;query=John+F.+Kennedy+International+Airport</x:v>
      </x:c>
      <x:c r="M4" s="54" t="str">
        <x:v>Geocode: Centro aeroportuario; la terminal exacta se resuelve el día del vuelo.</x:v>
      </x:c>
      <x:c r="N4" s="54" t="str">
        <x:v>Guía PDF original</x:v>
      </x:c>
      <x:c r="O4" s="42" t="str">
        <x:v>Alta</x:v>
      </x:c>
      <x:c r="P4" s="42" t="str">
        <x:v>https://www.google.com/maps/search/?api=1&amp;query=John+F.+Kennedy+International+Airport</x:v>
      </x:c>
      <x:c r="Q4" s="42" t="str">
        <x:v>Lat/lon + query geocoder</x:v>
      </x:c>
      <x:c r="R4" s="42" t="str">
        <x:v>No</x:v>
      </x:c>
    </x:row>
    <x:row r="5">
      <x:c r="A5" s="45" t="str">
        <x:v>JAMAICA</x:v>
      </x:c>
      <x:c r="B5" s="54" t="str">
        <x:v>Jamaica Station</x:v>
      </x:c>
      <x:c r="C5" s="54" t="str">
        <x:v>Jamaica Station, Queens, NY</x:v>
      </x:c>
      <x:c r="D5" s="54"/>
      <x:c r="E5" s="54" t="str">
        <x:v>Estación</x:v>
      </x:c>
      <x:c r="F5" s="54" t="str">
        <x:v>Dom, Vie</x:v>
      </x:c>
      <x:c r="G5" s="54" t="str">
        <x:v>No</x:v>
      </x:c>
      <x:c r="H5" s="54" t="str">
        <x:v>Alta</x:v>
      </x:c>
      <x:c r="I5" s="81" t="n">
        <x:v>40.69968</x:v>
      </x:c>
      <x:c r="J5" s="81" t="n">
        <x:v>-73.80854</x:v>
      </x:c>
      <x:c r="K5" s="54" t="str">
        <x:v>Listo · alta</x:v>
      </x:c>
      <x:c r="L5" s="54" t="str">
        <x:v>https://www.google.com/maps/search/?api=1&amp;query=Jamaica+Station%2C+Queens%2C+NY</x:v>
      </x:c>
      <x:c r="M5" s="54" t="str">
        <x:v>Geocode: Jamaica Station / AirTrain-LIRR.</x:v>
      </x:c>
      <x:c r="N5" s="54" t="str">
        <x:v>Guía PDF original</x:v>
      </x:c>
      <x:c r="O5" s="42" t="str">
        <x:v>Alta</x:v>
      </x:c>
      <x:c r="P5" s="42" t="str">
        <x:v>https://www.google.com/maps/search/?api=1&amp;query=Jamaica+Station%2C+Queens%2C+NY</x:v>
      </x:c>
      <x:c r="Q5" s="42" t="str">
        <x:v>Lat/lon + query geocoder</x:v>
      </x:c>
      <x:c r="R5" s="42" t="str">
        <x:v>No</x:v>
      </x:c>
    </x:row>
    <x:row r="6">
      <x:c r="A6" s="45" t="str">
        <x:v>PENN</x:v>
      </x:c>
      <x:c r="B6" s="54" t="str">
        <x:v>Penn Station</x:v>
      </x:c>
      <x:c r="C6" s="54" t="str">
        <x:v>Penn Station, New York, NY</x:v>
      </x:c>
      <x:c r="D6" s="54"/>
      <x:c r="E6" s="54" t="str">
        <x:v>Estación</x:v>
      </x:c>
      <x:c r="F6" s="54" t="str">
        <x:v>Dom, Vie</x:v>
      </x:c>
      <x:c r="G6" s="54" t="str">
        <x:v>No</x:v>
      </x:c>
      <x:c r="H6" s="54" t="str">
        <x:v>Alta</x:v>
      </x:c>
      <x:c r="I6" s="81" t="n">
        <x:v>40.75057</x:v>
      </x:c>
      <x:c r="J6" s="81" t="n">
        <x:v>-73.99353</x:v>
      </x:c>
      <x:c r="K6" s="54" t="str">
        <x:v>Listo · alta</x:v>
      </x:c>
      <x:c r="L6" s="54" t="str">
        <x:v>https://www.google.com/maps/search/?api=1&amp;query=Penn+Station%2C+New+York%2C+NY</x:v>
      </x:c>
      <x:c r="M6" s="54" t="str">
        <x:v>Geocode: Penn Station / complejo 34th St.</x:v>
      </x:c>
      <x:c r="N6" s="54" t="str">
        <x:v>Guía PDF original</x:v>
      </x:c>
      <x:c r="O6" s="42" t="str">
        <x:v>Alta</x:v>
      </x:c>
      <x:c r="P6" s="42" t="str">
        <x:v>https://www.google.com/maps/search/?api=1&amp;query=Penn+Station%2C+New+York%2C+NY</x:v>
      </x:c>
      <x:c r="Q6" s="42" t="str">
        <x:v>Lat/lon + query geocoder</x:v>
      </x:c>
      <x:c r="R6" s="42" t="str">
        <x:v>No</x:v>
      </x:c>
    </x:row>
    <x:row r="7">
      <x:c r="A7" s="45" t="str">
        <x:v>CHELSEA_MARKET</x:v>
      </x:c>
      <x:c r="B7" s="54" t="str">
        <x:v>Chelsea Market</x:v>
      </x:c>
      <x:c r="C7" s="54" t="str">
        <x:v>Chelsea Market, New York, NY</x:v>
      </x:c>
      <x:c r="D7" s="54" t="str">
        <x:v>75 9th Ave, New York, NY 10011</x:v>
      </x:c>
      <x:c r="E7" s="54" t="str">
        <x:v>Atracción</x:v>
      </x:c>
      <x:c r="F7" s="54" t="str">
        <x:v>Dom</x:v>
      </x:c>
      <x:c r="G7" s="54" t="str">
        <x:v>No</x:v>
      </x:c>
      <x:c r="H7" s="54" t="str">
        <x:v>Alta</x:v>
      </x:c>
      <x:c r="I7" s="81" t="n">
        <x:v>40.74244</x:v>
      </x:c>
      <x:c r="J7" s="81" t="n">
        <x:v>-74.00619</x:v>
      </x:c>
      <x:c r="K7" s="54" t="str">
        <x:v>Listo · alta</x:v>
      </x:c>
      <x:c r="L7" s="54" t="str">
        <x:v>https://www.google.com/maps/search/?api=1&amp;query=Chelsea+Market%2C+New+York%2C+NY</x:v>
      </x:c>
      <x:c r="M7" s="54" t="str">
        <x:v>Geocode: 75 9th Ave.</x:v>
      </x:c>
      <x:c r="N7" s="54" t="str">
        <x:v>Guía PDF original</x:v>
      </x:c>
      <x:c r="O7" s="42" t="str">
        <x:v>Alta</x:v>
      </x:c>
      <x:c r="P7" s="42" t="str">
        <x:v>https://www.google.com/maps/search/?api=1&amp;query=Chelsea+Market%2C+New+York%2C+NY</x:v>
      </x:c>
      <x:c r="Q7" s="42" t="str">
        <x:v>Lat/lon + query geocoder</x:v>
      </x:c>
      <x:c r="R7" s="42" t="str">
        <x:v>No</x:v>
      </x:c>
    </x:row>
    <x:row r="8">
      <x:c r="A8" s="45" t="str">
        <x:v>HIGHLINE_SOUTH</x:v>
      </x:c>
      <x:c r="B8" s="54" t="str">
        <x:v>High Line — tramo sur</x:v>
      </x:c>
      <x:c r="C8" s="54" t="str">
        <x:v>High Line Gansevoort Street entrance, New York, NY</x:v>
      </x:c>
      <x:c r="D8" s="54"/>
      <x:c r="E8" s="54" t="str">
        <x:v>Paseo</x:v>
      </x:c>
      <x:c r="F8" s="54" t="str">
        <x:v>Dom</x:v>
      </x:c>
      <x:c r="G8" s="54" t="str">
        <x:v>No</x:v>
      </x:c>
      <x:c r="H8" s="54" t="str">
        <x:v>Alta</x:v>
      </x:c>
      <x:c r="I8" s="81" t="n">
        <x:v>40.73969</x:v>
      </x:c>
      <x:c r="J8" s="81" t="n">
        <x:v>-74.00887</x:v>
      </x:c>
      <x:c r="K8" s="54" t="str">
        <x:v>Listo · alta</x:v>
      </x:c>
      <x:c r="L8" s="54" t="str">
        <x:v>https://www.google.com/maps/search/?api=1&amp;query=High+Line+Gansevoort+Street+entrance%2C+New+York%2C+NY</x:v>
      </x:c>
      <x:c r="M8" s="54" t="str">
        <x:v>Geocode: Terminal sur / acceso Gansevoort St.</x:v>
      </x:c>
      <x:c r="N8" s="54" t="str">
        <x:v>Guía PDF original</x:v>
      </x:c>
      <x:c r="O8" s="42" t="str">
        <x:v>Alta</x:v>
      </x:c>
      <x:c r="P8" s="42" t="str">
        <x:v>https://www.google.com/maps/search/?api=1&amp;query=High+Line+Gansevoort+Street+entrance%2C+New+York%2C+NY</x:v>
      </x:c>
      <x:c r="Q8" s="42" t="str">
        <x:v>Lat/lon + query geocoder</x:v>
      </x:c>
      <x:c r="R8" s="42" t="str">
        <x:v>No</x:v>
      </x:c>
    </x:row>
    <x:row r="9">
      <x:c r="A9" s="45" t="str">
        <x:v>LITTLE_ISLAND</x:v>
      </x:c>
      <x:c r="B9" s="54" t="str">
        <x:v>Little Island</x:v>
      </x:c>
      <x:c r="C9" s="54" t="str">
        <x:v>Little Island, New York, NY</x:v>
      </x:c>
      <x:c r="D9" s="54" t="str">
        <x:v>Pier 55, Hudson River Park, New York, NY 10014</x:v>
      </x:c>
      <x:c r="E9" s="54" t="str">
        <x:v>Parque</x:v>
      </x:c>
      <x:c r="F9" s="54" t="str">
        <x:v>Dom</x:v>
      </x:c>
      <x:c r="G9" s="54" t="str">
        <x:v>No</x:v>
      </x:c>
      <x:c r="H9" s="54" t="str">
        <x:v>Alta</x:v>
      </x:c>
      <x:c r="I9" s="81" t="n">
        <x:v>40.74207</x:v>
      </x:c>
      <x:c r="J9" s="81" t="n">
        <x:v>-74.01018</x:v>
      </x:c>
      <x:c r="K9" s="54" t="str">
        <x:v>Listo · alta</x:v>
      </x:c>
      <x:c r="L9" s="54" t="str">
        <x:v>https://www.google.com/maps/search/?api=1&amp;query=Little+Island%2C+New+York%2C+NY</x:v>
      </x:c>
      <x:c r="M9" s="54" t="str">
        <x:v>Geocode: Pier 55.</x:v>
      </x:c>
      <x:c r="N9" s="54" t="str">
        <x:v>Guía PDF original</x:v>
      </x:c>
      <x:c r="O9" s="42" t="str">
        <x:v>Alta</x:v>
      </x:c>
      <x:c r="P9" s="42" t="str">
        <x:v>https://www.google.com/maps/search/?api=1&amp;query=Little+Island%2C+New+York%2C+NY</x:v>
      </x:c>
      <x:c r="Q9" s="42" t="str">
        <x:v>Lat/lon + query geocoder</x:v>
      </x:c>
      <x:c r="R9" s="42" t="str">
        <x:v>No</x:v>
      </x:c>
    </x:row>
    <x:row r="10">
      <x:c r="A10" s="45" t="str">
        <x:v>OCULUS</x:v>
      </x:c>
      <x:c r="B10" s="54" t="str">
        <x:v>Oculus</x:v>
      </x:c>
      <x:c r="C10" s="54" t="str">
        <x:v>Oculus World Trade Center, New York, NY</x:v>
      </x:c>
      <x:c r="D10" s="54" t="str">
        <x:v>185 Greenwich St, New York, NY 10007</x:v>
      </x:c>
      <x:c r="E10" s="54" t="str">
        <x:v>Atracción</x:v>
      </x:c>
      <x:c r="F10" s="54" t="str">
        <x:v>Lun</x:v>
      </x:c>
      <x:c r="G10" s="54" t="str">
        <x:v>No</x:v>
      </x:c>
      <x:c r="H10" s="54" t="str">
        <x:v>Alta</x:v>
      </x:c>
      <x:c r="I10" s="81" t="n">
        <x:v>40.71157</x:v>
      </x:c>
      <x:c r="J10" s="81" t="n">
        <x:v>-74.01328</x:v>
      </x:c>
      <x:c r="K10" s="54" t="str">
        <x:v>Listo · alta</x:v>
      </x:c>
      <x:c r="L10" s="54" t="str">
        <x:v>https://www.google.com/maps/search/?api=1&amp;query=Oculus+World+Trade+Center%2C+New+York%2C+NY</x:v>
      </x:c>
      <x:c r="M10" s="54" t="str">
        <x:v>Geocode: Oculus WTC.</x:v>
      </x:c>
      <x:c r="N10" s="54" t="str">
        <x:v>Guía PDF original</x:v>
      </x:c>
      <x:c r="O10" s="42" t="str">
        <x:v>Alta</x:v>
      </x:c>
      <x:c r="P10" s="42" t="str">
        <x:v>https://www.google.com/maps/search/?api=1&amp;query=Oculus+World+Trade+Center%2C+New+York%2C+NY</x:v>
      </x:c>
      <x:c r="Q10" s="42" t="str">
        <x:v>Lat/lon + query geocoder</x:v>
      </x:c>
      <x:c r="R10" s="42" t="str">
        <x:v>No</x:v>
      </x:c>
    </x:row>
    <x:row r="11">
      <x:c r="A11" s="45" t="str">
        <x:v>MEMORIAL_911</x:v>
      </x:c>
      <x:c r="B11" s="54" t="str">
        <x:v>9/11 Memorial</x:v>
      </x:c>
      <x:c r="C11" s="54" t="str">
        <x:v>9/11 Memorial, New York, NY</x:v>
      </x:c>
      <x:c r="D11" s="54" t="str">
        <x:v>180 Greenwich St, New York, NY 10007</x:v>
      </x:c>
      <x:c r="E11" s="54" t="str">
        <x:v>Memorial</x:v>
      </x:c>
      <x:c r="F11" s="54" t="str">
        <x:v>Lun</x:v>
      </x:c>
      <x:c r="G11" s="54" t="str">
        <x:v>No</x:v>
      </x:c>
      <x:c r="H11" s="54" t="str">
        <x:v>Alta</x:v>
      </x:c>
      <x:c r="I11" s="81" t="n">
        <x:v>40.71152</x:v>
      </x:c>
      <x:c r="J11" s="81" t="n">
        <x:v>-74.01335</x:v>
      </x:c>
      <x:c r="K11" s="54" t="str">
        <x:v>Listo · alta</x:v>
      </x:c>
      <x:c r="L11" s="54" t="str">
        <x:v>https://www.google.com/maps/search/?api=1&amp;query=9%2F11+Memorial%2C+New+York%2C+NY</x:v>
      </x:c>
      <x:c r="M11" s="54" t="str">
        <x:v>Geocode: Memorial pools / 180 Greenwich St.</x:v>
      </x:c>
      <x:c r="N11" s="54" t="str">
        <x:v>Guía PDF original</x:v>
      </x:c>
      <x:c r="O11" s="42" t="str">
        <x:v>Alta</x:v>
      </x:c>
      <x:c r="P11" s="42" t="str">
        <x:v>https://www.google.com/maps/search/?api=1&amp;query=9%2F11+Memorial%2C+New+York%2C+NY</x:v>
      </x:c>
      <x:c r="Q11" s="42" t="str">
        <x:v>Lat/lon + query geocoder</x:v>
      </x:c>
      <x:c r="R11" s="42" t="str">
        <x:v>No</x:v>
      </x:c>
    </x:row>
    <x:row r="12">
      <x:c r="A12" s="45" t="str">
        <x:v>TRINITY</x:v>
      </x:c>
      <x:c r="B12" s="54" t="str">
        <x:v>Trinity Church</x:v>
      </x:c>
      <x:c r="C12" s="54" t="str">
        <x:v>Trinity Church Wall Street, New York, NY</x:v>
      </x:c>
      <x:c r="D12" s="54" t="str">
        <x:v>89 Broadway, New York, NY 10006</x:v>
      </x:c>
      <x:c r="E12" s="54" t="str">
        <x:v>Atracción</x:v>
      </x:c>
      <x:c r="F12" s="54" t="str">
        <x:v>Lun</x:v>
      </x:c>
      <x:c r="G12" s="54" t="str">
        <x:v>No</x:v>
      </x:c>
      <x:c r="H12" s="54" t="str">
        <x:v>Normal</x:v>
      </x:c>
      <x:c r="I12" s="81" t="n">
        <x:v>40.70811</x:v>
      </x:c>
      <x:c r="J12" s="81" t="n">
        <x:v>-74.01208</x:v>
      </x:c>
      <x:c r="K12" s="54" t="str">
        <x:v>Listo · alta</x:v>
      </x:c>
      <x:c r="L12" s="54" t="str">
        <x:v>https://www.google.com/maps/search/?api=1&amp;query=Trinity+Church+Wall+Street%2C+New+York%2C+NY</x:v>
      </x:c>
      <x:c r="M12" s="54" t="str">
        <x:v>Geocode: 89 Broadway.</x:v>
      </x:c>
      <x:c r="N12" s="54" t="str">
        <x:v>Guía PDF original</x:v>
      </x:c>
      <x:c r="O12" s="42" t="str">
        <x:v>Alta</x:v>
      </x:c>
      <x:c r="P12" s="42" t="str">
        <x:v>https://www.google.com/maps/search/?api=1&amp;query=Trinity+Church+Wall+Street%2C+New+York%2C+NY</x:v>
      </x:c>
      <x:c r="Q12" s="42" t="str">
        <x:v>Lat/lon + query geocoder</x:v>
      </x:c>
      <x:c r="R12" s="42" t="str">
        <x:v>No</x:v>
      </x:c>
    </x:row>
    <x:row r="13">
      <x:c r="A13" s="45" t="str">
        <x:v>FEDERAL_HALL</x:v>
      </x:c>
      <x:c r="B13" s="54" t="str">
        <x:v>Federal Hall</x:v>
      </x:c>
      <x:c r="C13" s="54" t="str">
        <x:v>Federal Hall National Memorial, New York, NY</x:v>
      </x:c>
      <x:c r="D13" s="54" t="str">
        <x:v>26 Wall St, New York, NY 10005</x:v>
      </x:c>
      <x:c r="E13" s="54" t="str">
        <x:v>Atracción</x:v>
      </x:c>
      <x:c r="F13" s="54" t="str">
        <x:v>Lun</x:v>
      </x:c>
      <x:c r="G13" s="54" t="str">
        <x:v>No</x:v>
      </x:c>
      <x:c r="H13" s="54" t="str">
        <x:v>Normal</x:v>
      </x:c>
      <x:c r="I13" s="81" t="n">
        <x:v>40.70741</x:v>
      </x:c>
      <x:c r="J13" s="81" t="n">
        <x:v>-74.01023</x:v>
      </x:c>
      <x:c r="K13" s="54" t="str">
        <x:v>Listo · alta</x:v>
      </x:c>
      <x:c r="L13" s="54" t="str">
        <x:v>https://www.google.com/maps/search/?api=1&amp;query=Federal+Hall+National+Memorial%2C+New+York%2C+NY</x:v>
      </x:c>
      <x:c r="M13" s="54" t="str">
        <x:v>Geocode: 26 Wall St.</x:v>
      </x:c>
      <x:c r="N13" s="54" t="str">
        <x:v>Guía PDF original</x:v>
      </x:c>
      <x:c r="O13" s="42" t="str">
        <x:v>Alta</x:v>
      </x:c>
      <x:c r="P13" s="42" t="str">
        <x:v>https://www.google.com/maps/search/?api=1&amp;query=Federal+Hall+National+Memorial%2C+New+York%2C+NY</x:v>
      </x:c>
      <x:c r="Q13" s="42" t="str">
        <x:v>Lat/lon + query geocoder</x:v>
      </x:c>
      <x:c r="R13" s="42" t="str">
        <x:v>No</x:v>
      </x:c>
    </x:row>
    <x:row r="14">
      <x:c r="A14" s="45" t="str">
        <x:v>NYSE</x:v>
      </x:c>
      <x:c r="B14" s="54" t="str">
        <x:v>New York Stock Exchange</x:v>
      </x:c>
      <x:c r="C14" s="54" t="str">
        <x:v>New York Stock Exchange, New York, NY</x:v>
      </x:c>
      <x:c r="D14" s="54" t="str">
        <x:v>11 Wall St, New York, NY 10005</x:v>
      </x:c>
      <x:c r="E14" s="54" t="str">
        <x:v>Atracción</x:v>
      </x:c>
      <x:c r="F14" s="54" t="str">
        <x:v>Lun</x:v>
      </x:c>
      <x:c r="G14" s="54" t="str">
        <x:v>No</x:v>
      </x:c>
      <x:c r="H14" s="54" t="str">
        <x:v>Normal</x:v>
      </x:c>
      <x:c r="I14" s="81" t="n">
        <x:v>40.70694</x:v>
      </x:c>
      <x:c r="J14" s="81" t="n">
        <x:v>-74.01131</x:v>
      </x:c>
      <x:c r="K14" s="54" t="str">
        <x:v>Listo · alta</x:v>
      </x:c>
      <x:c r="L14" s="54" t="str">
        <x:v>https://www.google.com/maps/search/?api=1&amp;query=New+York+Stock+Exchange%2C+New+York%2C+NY</x:v>
      </x:c>
      <x:c r="M14" s="54" t="str">
        <x:v>Geocode: 11 Wall St.</x:v>
      </x:c>
      <x:c r="N14" s="54" t="str">
        <x:v>Guía PDF original</x:v>
      </x:c>
      <x:c r="O14" s="42" t="str">
        <x:v>Alta</x:v>
      </x:c>
      <x:c r="P14" s="42" t="str">
        <x:v>https://www.google.com/maps/search/?api=1&amp;query=New+York+Stock+Exchange%2C+New+York%2C+NY</x:v>
      </x:c>
      <x:c r="Q14" s="42" t="str">
        <x:v>Lat/lon + query geocoder</x:v>
      </x:c>
      <x:c r="R14" s="42" t="str">
        <x:v>No</x:v>
      </x:c>
    </x:row>
    <x:row r="15">
      <x:c r="A15" s="45" t="str">
        <x:v>FEARLESS</x:v>
      </x:c>
      <x:c r="B15" s="54" t="str">
        <x:v>Fearless Girl</x:v>
      </x:c>
      <x:c r="C15" s="54" t="str">
        <x:v>Fearless Girl statue New York Stock Exchange, New York, NY</x:v>
      </x:c>
      <x:c r="D15" s="54"/>
      <x:c r="E15" s="54" t="str">
        <x:v>Atracción</x:v>
      </x:c>
      <x:c r="F15" s="54" t="str">
        <x:v>Lun</x:v>
      </x:c>
      <x:c r="G15" s="54" t="str">
        <x:v>No</x:v>
      </x:c>
      <x:c r="H15" s="54" t="str">
        <x:v>Normal</x:v>
      </x:c>
      <x:c r="I15" s="81" t="n">
        <x:v>40.70681</x:v>
      </x:c>
      <x:c r="J15" s="81" t="n">
        <x:v>-74.01081</x:v>
      </x:c>
      <x:c r="K15" s="54" t="str">
        <x:v>Listo · alta</x:v>
      </x:c>
      <x:c r="L15" s="54" t="str">
        <x:v>https://www.google.com/maps/search/?api=1&amp;query=Fearless+Girl+statue+New+York+Stock+Exchange%2C+New+York%2C+NY</x:v>
      </x:c>
      <x:c r="M15" s="54" t="str">
        <x:v>Geocode: Broad St, frente a NYSE.</x:v>
      </x:c>
      <x:c r="N15" s="54" t="str">
        <x:v>Guía PDF original</x:v>
      </x:c>
      <x:c r="O15" s="42" t="str">
        <x:v>Alta</x:v>
      </x:c>
      <x:c r="P15" s="42" t="str">
        <x:v>https://www.google.com/maps/search/?api=1&amp;query=Fearless+Girl+statue+New+York+Stock+Exchange%2C+New+York%2C+NY</x:v>
      </x:c>
      <x:c r="Q15" s="42" t="str">
        <x:v>Lat/lon + query geocoder</x:v>
      </x:c>
      <x:c r="R15" s="42" t="str">
        <x:v>No</x:v>
      </x:c>
    </x:row>
    <x:row r="16">
      <x:c r="A16" s="45" t="str">
        <x:v>CHARGING_BULL</x:v>
      </x:c>
      <x:c r="B16" s="54" t="str">
        <x:v>Charging Bull</x:v>
      </x:c>
      <x:c r="C16" s="54" t="str">
        <x:v>Charging Bull, New York, NY</x:v>
      </x:c>
      <x:c r="D16" s="54"/>
      <x:c r="E16" s="54" t="str">
        <x:v>Atracción</x:v>
      </x:c>
      <x:c r="F16" s="54" t="str">
        <x:v>Lun</x:v>
      </x:c>
      <x:c r="G16" s="54" t="str">
        <x:v>No</x:v>
      </x:c>
      <x:c r="H16" s="54" t="str">
        <x:v>Normal</x:v>
      </x:c>
      <x:c r="I16" s="81" t="n">
        <x:v>40.70555</x:v>
      </x:c>
      <x:c r="J16" s="81" t="n">
        <x:v>-74.01344</x:v>
      </x:c>
      <x:c r="K16" s="54" t="str">
        <x:v>Listo · alta</x:v>
      </x:c>
      <x:c r="L16" s="54" t="str">
        <x:v>https://www.google.com/maps/search/?api=1&amp;query=Charging+Bull%2C+New+York%2C+NY</x:v>
      </x:c>
      <x:c r="M16" s="54" t="str">
        <x:v>Geocode: Bowling Green.</x:v>
      </x:c>
      <x:c r="N16" s="54" t="str">
        <x:v>Guía PDF original</x:v>
      </x:c>
      <x:c r="O16" s="42" t="str">
        <x:v>Alta</x:v>
      </x:c>
      <x:c r="P16" s="42" t="str">
        <x:v>https://www.google.com/maps/search/?api=1&amp;query=Charging+Bull%2C+New+York%2C+NY</x:v>
      </x:c>
      <x:c r="Q16" s="42" t="str">
        <x:v>Lat/lon + query geocoder</x:v>
      </x:c>
      <x:c r="R16" s="42" t="str">
        <x:v>No</x:v>
      </x:c>
    </x:row>
    <x:row r="17">
      <x:c r="A17" s="45" t="str">
        <x:v>BATTERY</x:v>
      </x:c>
      <x:c r="B17" s="54" t="str">
        <x:v>The Battery</x:v>
      </x:c>
      <x:c r="C17" s="54" t="str">
        <x:v>The Battery, New York, NY</x:v>
      </x:c>
      <x:c r="D17" s="54"/>
      <x:c r="E17" s="54" t="str">
        <x:v>Parque</x:v>
      </x:c>
      <x:c r="F17" s="54" t="str">
        <x:v>Lun</x:v>
      </x:c>
      <x:c r="G17" s="54" t="str">
        <x:v>No</x:v>
      </x:c>
      <x:c r="H17" s="54" t="str">
        <x:v>Alta</x:v>
      </x:c>
      <x:c r="I17" s="81" t="n">
        <x:v>40.7033</x:v>
      </x:c>
      <x:c r="J17" s="81" t="n">
        <x:v>-74.017</x:v>
      </x:c>
      <x:c r="K17" s="54" t="str">
        <x:v>Listo · media</x:v>
      </x:c>
      <x:c r="L17" s="54" t="str">
        <x:v>https://www.google.com/maps/search/?api=1&amp;query=The+Battery%2C+New+York%2C+NY</x:v>
      </x:c>
      <x:c r="M17" s="54" t="str">
        <x:v>Geocode: Pin central/occidental del parque; el itinerario atraviesa el parque hacia Whitehall.</x:v>
      </x:c>
      <x:c r="N17" s="54" t="str">
        <x:v>Guía PDF original</x:v>
      </x:c>
      <x:c r="O17" s="42" t="str">
        <x:v>Media</x:v>
      </x:c>
      <x:c r="P17" s="42" t="str">
        <x:v>https://www.google.com/maps/search/?api=1&amp;query=The+Battery%2C+New+York%2C+NY</x:v>
      </x:c>
      <x:c r="Q17" s="42" t="str">
        <x:v>Lat/lon + query geocoder</x:v>
      </x:c>
      <x:c r="R17" s="42" t="str">
        <x:v>Sí</x:v>
      </x:c>
    </x:row>
    <x:row r="18">
      <x:c r="A18" s="45" t="str">
        <x:v>WHITEHALL</x:v>
      </x:c>
      <x:c r="B18" s="54" t="str">
        <x:v>Whitehall Ferry Terminal</x:v>
      </x:c>
      <x:c r="C18" s="54" t="str">
        <x:v>Whitehall Ferry Terminal, New York, NY</x:v>
      </x:c>
      <x:c r="D18" s="54" t="str">
        <x:v>4 South St, New York, NY 10004</x:v>
      </x:c>
      <x:c r="E18" s="54" t="str">
        <x:v>Terminal</x:v>
      </x:c>
      <x:c r="F18" s="54" t="str">
        <x:v>Lun</x:v>
      </x:c>
      <x:c r="G18" s="54" t="str">
        <x:v>No</x:v>
      </x:c>
      <x:c r="H18" s="54" t="str">
        <x:v>Alta</x:v>
      </x:c>
      <x:c r="I18" s="81" t="n">
        <x:v>40.70172</x:v>
      </x:c>
      <x:c r="J18" s="81" t="n">
        <x:v>-74.01282</x:v>
      </x:c>
      <x:c r="K18" s="54" t="str">
        <x:v>Listo · alta</x:v>
      </x:c>
      <x:c r="L18" s="54" t="str">
        <x:v>https://www.google.com/maps/search/?api=1&amp;query=Whitehall+Ferry+Terminal%2C+New+York%2C+NY</x:v>
      </x:c>
      <x:c r="M18" s="54" t="str">
        <x:v>Geocode: Whitehall Ferry Terminal.</x:v>
      </x:c>
      <x:c r="N18" s="54" t="str">
        <x:v>Guía PDF original</x:v>
      </x:c>
      <x:c r="O18" s="42" t="str">
        <x:v>Alta</x:v>
      </x:c>
      <x:c r="P18" s="42" t="str">
        <x:v>https://www.google.com/maps/search/?api=1&amp;query=Whitehall+Ferry+Terminal%2C+New+York%2C+NY</x:v>
      </x:c>
      <x:c r="Q18" s="42" t="str">
        <x:v>Lat/lon + query geocoder</x:v>
      </x:c>
      <x:c r="R18" s="42" t="str">
        <x:v>No</x:v>
      </x:c>
    </x:row>
    <x:row r="19">
      <x:c r="A19" s="45" t="str">
        <x:v>ST_GEORGE</x:v>
      </x:c>
      <x:c r="B19" s="54" t="str">
        <x:v>St. George Ferry Terminal</x:v>
      </x:c>
      <x:c r="C19" s="54" t="str">
        <x:v>St. George Ferry Terminal, Staten Island, NY</x:v>
      </x:c>
      <x:c r="D19" s="54"/>
      <x:c r="E19" s="54" t="str">
        <x:v>Terminal</x:v>
      </x:c>
      <x:c r="F19" s="54" t="str">
        <x:v>Lun</x:v>
      </x:c>
      <x:c r="G19" s="54" t="str">
        <x:v>No</x:v>
      </x:c>
      <x:c r="H19" s="54" t="str">
        <x:v>Alta</x:v>
      </x:c>
      <x:c r="I19" s="81" t="n">
        <x:v>40.64375</x:v>
      </x:c>
      <x:c r="J19" s="81" t="n">
        <x:v>-74.07364</x:v>
      </x:c>
      <x:c r="K19" s="54" t="str">
        <x:v>Listo · alta</x:v>
      </x:c>
      <x:c r="L19" s="54" t="str">
        <x:v>https://www.google.com/maps/search/?api=1&amp;query=St.+George+Ferry+Terminal%2C+Staten+Island%2C+NY</x:v>
      </x:c>
      <x:c r="M19" s="54" t="str">
        <x:v>Geocode: St. George Ferry Terminal.</x:v>
      </x:c>
      <x:c r="N19" s="54" t="str">
        <x:v>Guía PDF original</x:v>
      </x:c>
      <x:c r="O19" s="42" t="str">
        <x:v>Alta</x:v>
      </x:c>
      <x:c r="P19" s="42" t="str">
        <x:v>https://www.google.com/maps/search/?api=1&amp;query=St.+George+Ferry+Terminal%2C+Staten+Island%2C+NY</x:v>
      </x:c>
      <x:c r="Q19" s="42" t="str">
        <x:v>Lat/lon + query geocoder</x:v>
      </x:c>
      <x:c r="R19" s="42" t="str">
        <x:v>No</x:v>
      </x:c>
    </x:row>
    <x:row r="20">
      <x:c r="A20" s="45" t="str">
        <x:v>PIER17</x:v>
      </x:c>
      <x:c r="B20" s="54" t="str">
        <x:v>Pier 17 / South Street Seaport</x:v>
      </x:c>
      <x:c r="C20" s="54" t="str">
        <x:v>Pier 17, New York, NY</x:v>
      </x:c>
      <x:c r="D20" s="54" t="str">
        <x:v>89 South St, New York, NY 10038</x:v>
      </x:c>
      <x:c r="E20" s="54" t="str">
        <x:v>Paseo</x:v>
      </x:c>
      <x:c r="F20" s="54" t="str">
        <x:v>Lun</x:v>
      </x:c>
      <x:c r="G20" s="54" t="str">
        <x:v>No</x:v>
      </x:c>
      <x:c r="H20" s="54" t="str">
        <x:v>Normal</x:v>
      </x:c>
      <x:c r="I20" s="81" t="n">
        <x:v>40.7068</x:v>
      </x:c>
      <x:c r="J20" s="81" t="n">
        <x:v>-74.0033</x:v>
      </x:c>
      <x:c r="K20" s="54" t="str">
        <x:v>Listo · alta</x:v>
      </x:c>
      <x:c r="L20" s="54" t="str">
        <x:v>https://www.google.com/maps/search/?api=1&amp;query=Pier+17%2C+New+York%2C+NY</x:v>
      </x:c>
      <x:c r="M20" s="54" t="str">
        <x:v>Opcional; primer recorte del lunes. Geocode: 89 South St.</x:v>
      </x:c>
      <x:c r="N20" s="54" t="str">
        <x:v>Guía PDF original</x:v>
      </x:c>
      <x:c r="O20" s="42" t="str">
        <x:v>Alta</x:v>
      </x:c>
      <x:c r="P20" s="42" t="str">
        <x:v>https://www.google.com/maps/search/?api=1&amp;query=Pier+17%2C+New+York%2C+NY</x:v>
      </x:c>
      <x:c r="Q20" s="42" t="str">
        <x:v>Lat/lon + query geocoder</x:v>
      </x:c>
      <x:c r="R20" s="42" t="str">
        <x:v>No</x:v>
      </x:c>
    </x:row>
    <x:row r="21">
      <x:c r="A21" s="45" t="str">
        <x:v>COLUMBUS</x:v>
      </x:c>
      <x:c r="B21" s="54" t="str">
        <x:v>Columbus Circle</x:v>
      </x:c>
      <x:c r="C21" s="54" t="str">
        <x:v>Columbus Circle, New York, NY</x:v>
      </x:c>
      <x:c r="D21" s="54"/>
      <x:c r="E21" s="54" t="str">
        <x:v>Inicio ruta</x:v>
      </x:c>
      <x:c r="F21" s="54" t="str">
        <x:v>Mar</x:v>
      </x:c>
      <x:c r="G21" s="54" t="str">
        <x:v>No</x:v>
      </x:c>
      <x:c r="H21" s="54" t="str">
        <x:v>Alta</x:v>
      </x:c>
      <x:c r="I21" s="81" t="n">
        <x:v>40.7681</x:v>
      </x:c>
      <x:c r="J21" s="81" t="n">
        <x:v>-73.9819</x:v>
      </x:c>
      <x:c r="K21" s="54" t="str">
        <x:v>Listo · alta</x:v>
      </x:c>
      <x:c r="L21" s="54" t="str">
        <x:v>https://www.google.com/maps/search/?api=1&amp;query=Columbus+Circle%2C+New+York%2C+NY</x:v>
      </x:c>
      <x:c r="M21" s="54" t="str">
        <x:v>Geocode: Columbus Circle.</x:v>
      </x:c>
      <x:c r="N21" s="54" t="str">
        <x:v>Guía PDF original</x:v>
      </x:c>
      <x:c r="O21" s="42" t="str">
        <x:v>Alta</x:v>
      </x:c>
      <x:c r="P21" s="42" t="str">
        <x:v>https://www.google.com/maps/search/?api=1&amp;query=Columbus+Circle%2C+New+York%2C+NY</x:v>
      </x:c>
      <x:c r="Q21" s="42" t="str">
        <x:v>Lat/lon + query geocoder</x:v>
      </x:c>
      <x:c r="R21" s="42" t="str">
        <x:v>No</x:v>
      </x:c>
    </x:row>
    <x:row r="22">
      <x:c r="A22" s="45" t="str">
        <x:v>SHEEP_MEADOW</x:v>
      </x:c>
      <x:c r="B22" s="54" t="str">
        <x:v>Sheep Meadow</x:v>
      </x:c>
      <x:c r="C22" s="54" t="str">
        <x:v>Sheep Meadow, Central Park, New York, NY</x:v>
      </x:c>
      <x:c r="D22" s="54"/>
      <x:c r="E22" s="54" t="str">
        <x:v>Parque</x:v>
      </x:c>
      <x:c r="F22" s="54" t="str">
        <x:v>Mar</x:v>
      </x:c>
      <x:c r="G22" s="54" t="str">
        <x:v>No</x:v>
      </x:c>
      <x:c r="H22" s="54" t="str">
        <x:v>Normal</x:v>
      </x:c>
      <x:c r="I22" s="81" t="n">
        <x:v>40.7711</x:v>
      </x:c>
      <x:c r="J22" s="81" t="n">
        <x:v>-73.97475</x:v>
      </x:c>
      <x:c r="K22" s="54" t="str">
        <x:v>Listo · media</x:v>
      </x:c>
      <x:c r="L22" s="54" t="str">
        <x:v>https://www.google.com/maps/search/?api=1&amp;query=Sheep+Meadow%2C+Central+Park%2C+New+York%2C+NY</x:v>
      </x:c>
      <x:c r="M22" s="54" t="str">
        <x:v>Geocode: Pin representativo dentro de Sheep Meadow.</x:v>
      </x:c>
      <x:c r="N22" s="54" t="str">
        <x:v>Guía PDF original</x:v>
      </x:c>
      <x:c r="O22" s="42" t="str">
        <x:v>Media</x:v>
      </x:c>
      <x:c r="P22" s="42" t="str">
        <x:v>https://www.google.com/maps/search/?api=1&amp;query=Sheep+Meadow%2C+Central+Park%2C+New+York%2C+NY</x:v>
      </x:c>
      <x:c r="Q22" s="42" t="str">
        <x:v>Lat/lon + query geocoder</x:v>
      </x:c>
      <x:c r="R22" s="42" t="str">
        <x:v>Sí</x:v>
      </x:c>
    </x:row>
    <x:row r="23">
      <x:c r="A23" s="45" t="str">
        <x:v>THE_MALL</x:v>
      </x:c>
      <x:c r="B23" s="54" t="str">
        <x:v>The Mall and Literary Walk</x:v>
      </x:c>
      <x:c r="C23" s="54" t="str">
        <x:v>The Mall and Literary Walk, Central Park, New York, NY</x:v>
      </x:c>
      <x:c r="D23" s="54"/>
      <x:c r="E23" s="54" t="str">
        <x:v>Parque</x:v>
      </x:c>
      <x:c r="F23" s="54" t="str">
        <x:v>Mar</x:v>
      </x:c>
      <x:c r="G23" s="54" t="str">
        <x:v>No</x:v>
      </x:c>
      <x:c r="H23" s="54" t="str">
        <x:v>Normal</x:v>
      </x:c>
      <x:c r="I23" s="81" t="n">
        <x:v>40.77255</x:v>
      </x:c>
      <x:c r="J23" s="81" t="n">
        <x:v>-73.97055</x:v>
      </x:c>
      <x:c r="K23" s="54" t="str">
        <x:v>Listo · media</x:v>
      </x:c>
      <x:c r="L23" s="54" t="str">
        <x:v>https://www.google.com/maps/search/?api=1&amp;query=The+Mall+and+Literary+Walk%2C+Central+Park%2C+New+York%2C+NY</x:v>
      </x:c>
      <x:c r="M23" s="54" t="str">
        <x:v>Geocode: Pin representativo de The Mall / Literary Walk.</x:v>
      </x:c>
      <x:c r="N23" s="54" t="str">
        <x:v>Guía PDF original</x:v>
      </x:c>
      <x:c r="O23" s="42" t="str">
        <x:v>Media</x:v>
      </x:c>
      <x:c r="P23" s="42" t="str">
        <x:v>https://www.google.com/maps/search/?api=1&amp;query=The+Mall+and+Literary+Walk%2C+Central+Park%2C+New+York%2C+NY</x:v>
      </x:c>
      <x:c r="Q23" s="42" t="str">
        <x:v>Lat/lon + query geocoder</x:v>
      </x:c>
      <x:c r="R23" s="42" t="str">
        <x:v>Sí</x:v>
      </x:c>
    </x:row>
    <x:row r="24">
      <x:c r="A24" s="45" t="str">
        <x:v>BETHESDA</x:v>
      </x:c>
      <x:c r="B24" s="54" t="str">
        <x:v>Bethesda Terrace &amp; Fountain</x:v>
      </x:c>
      <x:c r="C24" s="54" t="str">
        <x:v>Bethesda Terrace, Central Park, New York, NY</x:v>
      </x:c>
      <x:c r="D24" s="54"/>
      <x:c r="E24" s="54" t="str">
        <x:v>Parque</x:v>
      </x:c>
      <x:c r="F24" s="54" t="str">
        <x:v>Mar</x:v>
      </x:c>
      <x:c r="G24" s="54" t="str">
        <x:v>No</x:v>
      </x:c>
      <x:c r="H24" s="54" t="str">
        <x:v>Alta</x:v>
      </x:c>
      <x:c r="I24" s="81" t="n">
        <x:v>40.77394</x:v>
      </x:c>
      <x:c r="J24" s="81" t="n">
        <x:v>-73.97094</x:v>
      </x:c>
      <x:c r="K24" s="54" t="str">
        <x:v>Listo · alta</x:v>
      </x:c>
      <x:c r="L24" s="54" t="str">
        <x:v>https://www.google.com/maps/search/?api=1&amp;query=Bethesda+Terrace%2C+Central+Park%2C+New+York%2C+NY</x:v>
      </x:c>
      <x:c r="M24" s="54" t="str">
        <x:v>Geocode: Bethesda Terrace/Fountain.</x:v>
      </x:c>
      <x:c r="N24" s="54" t="str">
        <x:v>Guía PDF original</x:v>
      </x:c>
      <x:c r="O24" s="42" t="str">
        <x:v>Alta</x:v>
      </x:c>
      <x:c r="P24" s="42" t="str">
        <x:v>https://www.google.com/maps/search/?api=1&amp;query=Bethesda+Terrace%2C+Central+Park%2C+New+York%2C+NY</x:v>
      </x:c>
      <x:c r="Q24" s="42" t="str">
        <x:v>Lat/lon + query geocoder</x:v>
      </x:c>
      <x:c r="R24" s="42" t="str">
        <x:v>No</x:v>
      </x:c>
    </x:row>
    <x:row r="25">
      <x:c r="A25" s="45" t="str">
        <x:v>BOW_BRIDGE</x:v>
      </x:c>
      <x:c r="B25" s="54" t="str">
        <x:v>Bow Bridge</x:v>
      </x:c>
      <x:c r="C25" s="54" t="str">
        <x:v>Bow Bridge, Central Park, New York, NY</x:v>
      </x:c>
      <x:c r="D25" s="54"/>
      <x:c r="E25" s="54" t="str">
        <x:v>Parque</x:v>
      </x:c>
      <x:c r="F25" s="54" t="str">
        <x:v>Mar</x:v>
      </x:c>
      <x:c r="G25" s="54" t="str">
        <x:v>No</x:v>
      </x:c>
      <x:c r="H25" s="54" t="str">
        <x:v>Alta</x:v>
      </x:c>
      <x:c r="I25" s="81" t="n">
        <x:v>40.77502</x:v>
      </x:c>
      <x:c r="J25" s="81" t="n">
        <x:v>-73.97178</x:v>
      </x:c>
      <x:c r="K25" s="54" t="str">
        <x:v>Listo · alta</x:v>
      </x:c>
      <x:c r="L25" s="54" t="str">
        <x:v>https://www.google.com/maps/search/?api=1&amp;query=Bow+Bridge%2C+Central+Park%2C+New+York%2C+NY</x:v>
      </x:c>
      <x:c r="M25" s="54" t="str">
        <x:v>Geocode: Bow Bridge.</x:v>
      </x:c>
      <x:c r="N25" s="54" t="str">
        <x:v>Guía PDF original</x:v>
      </x:c>
      <x:c r="O25" s="42" t="str">
        <x:v>Alta</x:v>
      </x:c>
      <x:c r="P25" s="42" t="str">
        <x:v>https://www.google.com/maps/search/?api=1&amp;query=Bow+Bridge%2C+Central+Park%2C+New+York%2C+NY</x:v>
      </x:c>
      <x:c r="Q25" s="42" t="str">
        <x:v>Lat/lon + query geocoder</x:v>
      </x:c>
      <x:c r="R25" s="42" t="str">
        <x:v>No</x:v>
      </x:c>
    </x:row>
    <x:row r="26">
      <x:c r="A26" s="45" t="str">
        <x:v>CONSERVATORY_WATER</x:v>
      </x:c>
      <x:c r="B26" s="54" t="str">
        <x:v>Conservatory Water</x:v>
      </x:c>
      <x:c r="C26" s="54" t="str">
        <x:v>Conservatory Water, Central Park, New York, NY</x:v>
      </x:c>
      <x:c r="D26" s="54"/>
      <x:c r="E26" s="54" t="str">
        <x:v>Parque</x:v>
      </x:c>
      <x:c r="F26" s="54" t="str">
        <x:v>Mar</x:v>
      </x:c>
      <x:c r="G26" s="54" t="str">
        <x:v>No</x:v>
      </x:c>
      <x:c r="H26" s="54" t="str">
        <x:v>Normal</x:v>
      </x:c>
      <x:c r="I26" s="81" t="n">
        <x:v>40.77435</x:v>
      </x:c>
      <x:c r="J26" s="81" t="n">
        <x:v>-73.96555</x:v>
      </x:c>
      <x:c r="K26" s="54" t="str">
        <x:v>Listo · media</x:v>
      </x:c>
      <x:c r="L26" s="54" t="str">
        <x:v>https://www.google.com/maps/search/?api=1&amp;query=Conservatory+Water%2C+Central+Park%2C+New+York%2C+NY</x:v>
      </x:c>
      <x:c r="M26" s="54" t="str">
        <x:v>Geocode: Pin representativo de Conservatory Water.</x:v>
      </x:c>
      <x:c r="N26" s="54" t="str">
        <x:v>Guía PDF original</x:v>
      </x:c>
      <x:c r="O26" s="42" t="str">
        <x:v>Media</x:v>
      </x:c>
      <x:c r="P26" s="42" t="str">
        <x:v>https://www.google.com/maps/search/?api=1&amp;query=Conservatory+Water%2C+Central+Park%2C+New+York%2C+NY</x:v>
      </x:c>
      <x:c r="Q26" s="42" t="str">
        <x:v>Lat/lon + query geocoder</x:v>
      </x:c>
      <x:c r="R26" s="42" t="str">
        <x:v>Sí</x:v>
      </x:c>
    </x:row>
    <x:row r="27">
      <x:c r="A27" s="45" t="str">
        <x:v>THE_MET</x:v>
      </x:c>
      <x:c r="B27" s="54" t="str">
        <x:v>The Metropolitan Museum of Art</x:v>
      </x:c>
      <x:c r="C27" s="54" t="str">
        <x:v>The Metropolitan Museum of Art, 1000 5th Ave, New York, NY</x:v>
      </x:c>
      <x:c r="D27" s="54" t="str">
        <x:v>1000 5th Ave, New York, NY 10028</x:v>
      </x:c>
      <x:c r="E27" s="54" t="str">
        <x:v>Museo</x:v>
      </x:c>
      <x:c r="F27" s="54" t="str">
        <x:v>Mar</x:v>
      </x:c>
      <x:c r="G27" s="54" t="str">
        <x:v>No</x:v>
      </x:c>
      <x:c r="H27" s="54" t="str">
        <x:v>Alta</x:v>
      </x:c>
      <x:c r="I27" s="81" t="n">
        <x:v>40.77944</x:v>
      </x:c>
      <x:c r="J27" s="81" t="n">
        <x:v>-73.96319</x:v>
      </x:c>
      <x:c r="K27" s="54" t="str">
        <x:v>Listo · alta</x:v>
      </x:c>
      <x:c r="L27" s="54" t="str">
        <x:v>https://www.google.com/maps/search/?api=1&amp;query=The+Metropolitan+Museum+of+Art%2C+1000+5th+Ave%2C+New+York%2C+NY</x:v>
      </x:c>
      <x:c r="M27" s="54" t="str">
        <x:v>Plan revisado: 1h45, máximo 2h. Geocode: 1000 Fifth Ave.</x:v>
      </x:c>
      <x:c r="N27" s="54" t="str">
        <x:v>Guía PDF original</x:v>
      </x:c>
      <x:c r="O27" s="42" t="str">
        <x:v>Alta</x:v>
      </x:c>
      <x:c r="P27" s="42" t="str">
        <x:v>https://www.google.com/maps/search/?api=1&amp;query=The+Metropolitan+Museum+of+Art%2C+1000+5th+Ave%2C+New+York%2C+NY</x:v>
      </x:c>
      <x:c r="Q27" s="42" t="str">
        <x:v>Lat/lon + query geocoder</x:v>
      </x:c>
      <x:c r="R27" s="42" t="str">
        <x:v>No</x:v>
      </x:c>
    </x:row>
    <x:row r="28">
      <x:c r="A28" s="45" t="str">
        <x:v>THE_PLAZA</x:v>
      </x:c>
      <x:c r="B28" s="54" t="str">
        <x:v>The Plaza / 59th &amp; Fifth</x:v>
      </x:c>
      <x:c r="C28" s="54" t="str">
        <x:v>The Plaza Hotel, New York, NY</x:v>
      </x:c>
      <x:c r="D28" s="54" t="str">
        <x:v>768 5th Ave, New York, NY 10019</x:v>
      </x:c>
      <x:c r="E28" s="54" t="str">
        <x:v>Hito</x:v>
      </x:c>
      <x:c r="F28" s="54" t="str">
        <x:v>Mar</x:v>
      </x:c>
      <x:c r="G28" s="54" t="str">
        <x:v>No</x:v>
      </x:c>
      <x:c r="H28" s="54" t="str">
        <x:v>Alta</x:v>
      </x:c>
      <x:c r="I28" s="81" t="n">
        <x:v>40.76448</x:v>
      </x:c>
      <x:c r="J28" s="81" t="n">
        <x:v>-73.97449</x:v>
      </x:c>
      <x:c r="K28" s="54" t="str">
        <x:v>Listo · alta</x:v>
      </x:c>
      <x:c r="L28" s="54" t="str">
        <x:v>https://www.google.com/maps/search/?api=1&amp;query=The+Plaza+Hotel%2C+New+York%2C+NY</x:v>
      </x:c>
      <x:c r="M28" s="54" t="str">
        <x:v>Geocode: 768 Fifth Ave / 59th.</x:v>
      </x:c>
      <x:c r="N28" s="54" t="str">
        <x:v>Guía PDF original</x:v>
      </x:c>
      <x:c r="O28" s="42" t="str">
        <x:v>Alta</x:v>
      </x:c>
      <x:c r="P28" s="42" t="str">
        <x:v>https://www.google.com/maps/search/?api=1&amp;query=The+Plaza+Hotel%2C+New+York%2C+NY</x:v>
      </x:c>
      <x:c r="Q28" s="42" t="str">
        <x:v>Lat/lon + query geocoder</x:v>
      </x:c>
      <x:c r="R28" s="42" t="str">
        <x:v>No</x:v>
      </x:c>
    </x:row>
    <x:row r="29">
      <x:c r="A29" s="45" t="str">
        <x:v>ROOSEVELT_TRAM_MH</x:v>
      </x:c>
      <x:c r="B29" s="54" t="str">
        <x:v>Roosevelt Island Tram — Manhattan</x:v>
      </x:c>
      <x:c r="C29" s="54" t="str">
        <x:v>Roosevelt Island Tramway Manhattan Station, New York, NY</x:v>
      </x:c>
      <x:c r="D29" s="54" t="str">
        <x:v>E 59th St &amp; 2nd Ave, New York, NY</x:v>
      </x:c>
      <x:c r="E29" s="54" t="str">
        <x:v>Transporte/atracción</x:v>
      </x:c>
      <x:c r="F29" s="54" t="str">
        <x:v>Mar</x:v>
      </x:c>
      <x:c r="G29" s="54" t="str">
        <x:v>Sí</x:v>
      </x:c>
      <x:c r="H29" s="54" t="str">
        <x:v>Alta</x:v>
      </x:c>
      <x:c r="I29" s="81" t="n">
        <x:v>40.76137</x:v>
      </x:c>
      <x:c r="J29" s="81" t="n">
        <x:v>-73.96415</x:v>
      </x:c>
      <x:c r="K29" s="54" t="str">
        <x:v>Listo · alta</x:v>
      </x:c>
      <x:c r="L29" s="54" t="str">
        <x:v>https://www.google.com/maps/search/?api=1&amp;query=Roosevelt+Island+Tramway+Manhattan+Station%2C+New+York%2C+NY</x:v>
      </x:c>
      <x:c r="M29" s="54" t="str">
        <x:v>Agregado nuevo. Geocode: E 59th St &amp; 2nd Ave.</x:v>
      </x:c>
      <x:c r="N29" s="54" t="str">
        <x:v>Revisión del itinerario · 10 Sep 2026</x:v>
      </x:c>
      <x:c r="O29" s="42" t="str">
        <x:v>Alta</x:v>
      </x:c>
      <x:c r="P29" s="42" t="str">
        <x:v>https://www.google.com/maps/search/?api=1&amp;query=Roosevelt+Island+Tramway+Manhattan+Station%2C+New+York%2C+NY</x:v>
      </x:c>
      <x:c r="Q29" s="42" t="str">
        <x:v>Lat/lon + query geocoder</x:v>
      </x:c>
      <x:c r="R29" s="42" t="str">
        <x:v>No</x:v>
      </x:c>
    </x:row>
    <x:row r="30">
      <x:c r="A30" s="45" t="str">
        <x:v>ROOSEVELT_TRAM_RI</x:v>
      </x:c>
      <x:c r="B30" s="54" t="str">
        <x:v>Roosevelt Island Tram — isla</x:v>
      </x:c>
      <x:c r="C30" s="54" t="str">
        <x:v>Roosevelt Island Tramway Roosevelt Island Station, New York, NY</x:v>
      </x:c>
      <x:c r="D30" s="54"/>
      <x:c r="E30" s="54" t="str">
        <x:v>Transporte/atracción</x:v>
      </x:c>
      <x:c r="F30" s="54" t="str">
        <x:v>Mar</x:v>
      </x:c>
      <x:c r="G30" s="54" t="str">
        <x:v>Sí</x:v>
      </x:c>
      <x:c r="H30" s="54" t="str">
        <x:v>Alta</x:v>
      </x:c>
      <x:c r="I30" s="81" t="n">
        <x:v>40.75747</x:v>
      </x:c>
      <x:c r="J30" s="81" t="n">
        <x:v>-73.95411</x:v>
      </x:c>
      <x:c r="K30" s="54" t="str">
        <x:v>Listo · alta</x:v>
      </x:c>
      <x:c r="L30" s="54" t="str">
        <x:v>https://www.google.com/maps/search/?api=1&amp;query=Roosevelt+Island+Tramway+Roosevelt+Island+Station%2C+New+York%2C+NY</x:v>
      </x:c>
      <x:c r="M30" s="54" t="str">
        <x:v>Agregado nuevo. Geocode: Roosevelt Island Tram station.</x:v>
      </x:c>
      <x:c r="N30" s="54" t="str">
        <x:v>Revisión del itinerario · 10 Sep 2026</x:v>
      </x:c>
      <x:c r="O30" s="42" t="str">
        <x:v>Alta</x:v>
      </x:c>
      <x:c r="P30" s="42" t="str">
        <x:v>https://www.google.com/maps/search/?api=1&amp;query=Roosevelt+Island+Tramway+Roosevelt+Island+Station%2C+New+York%2C+NY</x:v>
      </x:c>
      <x:c r="Q30" s="42" t="str">
        <x:v>Lat/lon + query geocoder</x:v>
      </x:c>
      <x:c r="R30" s="42" t="str">
        <x:v>No</x:v>
      </x:c>
    </x:row>
    <x:row r="31">
      <x:c r="A31" s="45" t="str">
        <x:v>PALEY_PARK</x:v>
      </x:c>
      <x:c r="B31" s="54" t="str">
        <x:v>Paley Park</x:v>
      </x:c>
      <x:c r="C31" s="54" t="str">
        <x:v>Paley Park, New York, NY</x:v>
      </x:c>
      <x:c r="D31" s="54" t="str">
        <x:v>3 E 53rd St, New York, NY 10022</x:v>
      </x:c>
      <x:c r="E31" s="54" t="str">
        <x:v>Microparada</x:v>
      </x:c>
      <x:c r="F31" s="54" t="str">
        <x:v>Mar</x:v>
      </x:c>
      <x:c r="G31" s="54" t="str">
        <x:v>Sí</x:v>
      </x:c>
      <x:c r="H31" s="54" t="str">
        <x:v>Normal</x:v>
      </x:c>
      <x:c r="I31" s="81" t="n">
        <x:v>40.76008</x:v>
      </x:c>
      <x:c r="J31" s="81" t="n">
        <x:v>-73.9751</x:v>
      </x:c>
      <x:c r="K31" s="54" t="str">
        <x:v>Listo · alta</x:v>
      </x:c>
      <x:c r="L31" s="54" t="str">
        <x:v>https://www.google.com/maps/search/?api=1&amp;query=Paley+Park%2C+New+York%2C+NY</x:v>
      </x:c>
      <x:c r="M31" s="54" t="str">
        <x:v>Agregado nuevo; pausa breve. Geocode: 3 E 53rd St.</x:v>
      </x:c>
      <x:c r="N31" s="54" t="str">
        <x:v>Revisión del itinerario · 10 Sep 2026</x:v>
      </x:c>
      <x:c r="O31" s="42" t="str">
        <x:v>Alta</x:v>
      </x:c>
      <x:c r="P31" s="42" t="str">
        <x:v>https://www.google.com/maps/search/?api=1&amp;query=Paley+Park%2C+New+York%2C+NY</x:v>
      </x:c>
      <x:c r="Q31" s="42" t="str">
        <x:v>Lat/lon + query geocoder</x:v>
      </x:c>
      <x:c r="R31" s="42" t="str">
        <x:v>No</x:v>
      </x:c>
    </x:row>
    <x:row r="32">
      <x:c r="A32" s="45" t="str">
        <x:v>ST_PATRICK</x:v>
      </x:c>
      <x:c r="B32" s="54" t="str">
        <x:v>St. Patrick's Cathedral</x:v>
      </x:c>
      <x:c r="C32" s="54" t="str">
        <x:v>St. Patrick's Cathedral, New York, NY</x:v>
      </x:c>
      <x:c r="D32" s="54" t="str">
        <x:v>5th Ave, New York, NY 10022</x:v>
      </x:c>
      <x:c r="E32" s="54" t="str">
        <x:v>Atracción</x:v>
      </x:c>
      <x:c r="F32" s="54" t="str">
        <x:v>Mar</x:v>
      </x:c>
      <x:c r="G32" s="54" t="str">
        <x:v>No</x:v>
      </x:c>
      <x:c r="H32" s="54" t="str">
        <x:v>Alta</x:v>
      </x:c>
      <x:c r="I32" s="81" t="n">
        <x:v>40.75861</x:v>
      </x:c>
      <x:c r="J32" s="81" t="n">
        <x:v>-73.97625</x:v>
      </x:c>
      <x:c r="K32" s="54" t="str">
        <x:v>Listo · alta</x:v>
      </x:c>
      <x:c r="L32" s="54" t="str">
        <x:v>https://www.google.com/maps/search/?api=1&amp;query=St.+Patrick%27s+Cathedral%2C+New+York%2C+NY</x:v>
      </x:c>
      <x:c r="M32" s="54" t="str">
        <x:v>Geocode: Fifth Ave, 50th/51st.</x:v>
      </x:c>
      <x:c r="N32" s="54" t="str">
        <x:v>Guía PDF original</x:v>
      </x:c>
      <x:c r="O32" s="42" t="str">
        <x:v>Alta</x:v>
      </x:c>
      <x:c r="P32" s="42" t="str">
        <x:v>https://www.google.com/maps/search/?api=1&amp;query=St.+Patrick%27s+Cathedral%2C+New+York%2C+NY</x:v>
      </x:c>
      <x:c r="Q32" s="42" t="str">
        <x:v>Lat/lon + query geocoder</x:v>
      </x:c>
      <x:c r="R32" s="42" t="str">
        <x:v>No</x:v>
      </x:c>
    </x:row>
    <x:row r="33">
      <x:c r="A33" s="45" t="str">
        <x:v>ROCKEFELLER</x:v>
      </x:c>
      <x:c r="B33" s="54" t="str">
        <x:v>Rockefeller Center</x:v>
      </x:c>
      <x:c r="C33" s="54" t="str">
        <x:v>Rockefeller Center, New York, NY</x:v>
      </x:c>
      <x:c r="D33" s="54" t="str">
        <x:v>45 Rockefeller Plaza, New York, NY 10111</x:v>
      </x:c>
      <x:c r="E33" s="54" t="str">
        <x:v>Atracción</x:v>
      </x:c>
      <x:c r="F33" s="54" t="str">
        <x:v>Mar</x:v>
      </x:c>
      <x:c r="G33" s="54" t="str">
        <x:v>No</x:v>
      </x:c>
      <x:c r="H33" s="54" t="str">
        <x:v>Alta</x:v>
      </x:c>
      <x:c r="I33" s="81" t="n">
        <x:v>40.75874</x:v>
      </x:c>
      <x:c r="J33" s="81" t="n">
        <x:v>-73.97867</x:v>
      </x:c>
      <x:c r="K33" s="54" t="str">
        <x:v>Listo · alta</x:v>
      </x:c>
      <x:c r="L33" s="54" t="str">
        <x:v>https://www.google.com/maps/search/?api=1&amp;query=Rockefeller+Center%2C+New+York%2C+NY</x:v>
      </x:c>
      <x:c r="M33" s="54" t="str">
        <x:v>Geocode: Rockefeller Plaza.</x:v>
      </x:c>
      <x:c r="N33" s="54" t="str">
        <x:v>Guía PDF original</x:v>
      </x:c>
      <x:c r="O33" s="42" t="str">
        <x:v>Alta</x:v>
      </x:c>
      <x:c r="P33" s="42" t="str">
        <x:v>https://www.google.com/maps/search/?api=1&amp;query=Rockefeller+Center%2C+New+York%2C+NY</x:v>
      </x:c>
      <x:c r="Q33" s="42" t="str">
        <x:v>Lat/lon + query geocoder</x:v>
      </x:c>
      <x:c r="R33" s="42" t="str">
        <x:v>No</x:v>
      </x:c>
    </x:row>
    <x:row r="34">
      <x:c r="A34" s="45" t="str">
        <x:v>FAO</x:v>
      </x:c>
      <x:c r="B34" s="54" t="str">
        <x:v>FAO Schwarz</x:v>
      </x:c>
      <x:c r="C34" s="54" t="str">
        <x:v>FAO Schwarz Rockefeller Center, New York, NY</x:v>
      </x:c>
      <x:c r="D34" s="54" t="str">
        <x:v>30 Rockefeller Plaza, New York, NY 10111</x:v>
      </x:c>
      <x:c r="E34" s="54" t="str">
        <x:v>Tienda</x:v>
      </x:c>
      <x:c r="F34" s="54" t="str">
        <x:v>Mar</x:v>
      </x:c>
      <x:c r="G34" s="54" t="str">
        <x:v>Sí</x:v>
      </x:c>
      <x:c r="H34" s="54" t="str">
        <x:v>Normal</x:v>
      </x:c>
      <x:c r="I34" s="81" t="n">
        <x:v>40.75877</x:v>
      </x:c>
      <x:c r="J34" s="81" t="n">
        <x:v>-73.97864</x:v>
      </x:c>
      <x:c r="K34" s="54" t="str">
        <x:v>Listo · alta</x:v>
      </x:c>
      <x:c r="L34" s="54" t="str">
        <x:v>https://www.google.com/maps/search/?api=1&amp;query=FAO+Schwarz+Rockefeller+Center%2C+New+York%2C+NY</x:v>
      </x:c>
      <x:c r="M34" s="54" t="str">
        <x:v>Opcional para la nena; agregado a la ruta explícita. Geocode: 30 Rockefeller Plaza.</x:v>
      </x:c>
      <x:c r="N34" s="54" t="str">
        <x:v>Revisión del itinerario · 10 Sep 2026</x:v>
      </x:c>
      <x:c r="O34" s="42" t="str">
        <x:v>Alta</x:v>
      </x:c>
      <x:c r="P34" s="42" t="str">
        <x:v>https://www.google.com/maps/search/?api=1&amp;query=FAO+Schwarz+Rockefeller+Center%2C+New+York%2C+NY</x:v>
      </x:c>
      <x:c r="Q34" s="42" t="str">
        <x:v>Lat/lon + query geocoder</x:v>
      </x:c>
      <x:c r="R34" s="42" t="str">
        <x:v>No</x:v>
      </x:c>
    </x:row>
    <x:row r="35">
      <x:c r="A35" s="45" t="str">
        <x:v>RADIO_CITY</x:v>
      </x:c>
      <x:c r="B35" s="54" t="str">
        <x:v>Radio City Music Hall</x:v>
      </x:c>
      <x:c r="C35" s="54" t="str">
        <x:v>Radio City Music Hall, New York, NY</x:v>
      </x:c>
      <x:c r="D35" s="54" t="str">
        <x:v>1260 6th Ave, New York, NY 10020</x:v>
      </x:c>
      <x:c r="E35" s="54" t="str">
        <x:v>Hito</x:v>
      </x:c>
      <x:c r="F35" s="54" t="str">
        <x:v>Mar</x:v>
      </x:c>
      <x:c r="G35" s="54" t="str">
        <x:v>No</x:v>
      </x:c>
      <x:c r="H35" s="54" t="str">
        <x:v>Normal</x:v>
      </x:c>
      <x:c r="I35" s="81" t="n">
        <x:v>40.76001</x:v>
      </x:c>
      <x:c r="J35" s="81" t="n">
        <x:v>-73.98</x:v>
      </x:c>
      <x:c r="K35" s="54" t="str">
        <x:v>Listo · alta</x:v>
      </x:c>
      <x:c r="L35" s="54" t="str">
        <x:v>https://www.google.com/maps/search/?api=1&amp;query=Radio+City+Music+Hall%2C+New+York%2C+NY</x:v>
      </x:c>
      <x:c r="M35" s="54" t="str">
        <x:v>Geocode: 1260 6th Ave.</x:v>
      </x:c>
      <x:c r="N35" s="54" t="str">
        <x:v>Guía PDF original</x:v>
      </x:c>
      <x:c r="O35" s="42" t="str">
        <x:v>Alta</x:v>
      </x:c>
      <x:c r="P35" s="42" t="str">
        <x:v>https://www.google.com/maps/search/?api=1&amp;query=Radio+City+Music+Hall%2C+New+York%2C+NY</x:v>
      </x:c>
      <x:c r="Q35" s="42" t="str">
        <x:v>Lat/lon + query geocoder</x:v>
      </x:c>
      <x:c r="R35" s="42" t="str">
        <x:v>No</x:v>
      </x:c>
    </x:row>
    <x:row r="36">
      <x:c r="A36" s="45" t="str">
        <x:v>TIMES_SQUARE</x:v>
      </x:c>
      <x:c r="B36" s="54" t="str">
        <x:v>Times Square</x:v>
      </x:c>
      <x:c r="C36" s="54" t="str">
        <x:v>Times Square, New York, NY</x:v>
      </x:c>
      <x:c r="D36" s="54"/>
      <x:c r="E36" s="54" t="str">
        <x:v>Atracción</x:v>
      </x:c>
      <x:c r="F36" s="54" t="str">
        <x:v>Mar</x:v>
      </x:c>
      <x:c r="G36" s="54" t="str">
        <x:v>No</x:v>
      </x:c>
      <x:c r="H36" s="54" t="str">
        <x:v>Alta</x:v>
      </x:c>
      <x:c r="I36" s="81" t="n">
        <x:v>40.758</x:v>
      </x:c>
      <x:c r="J36" s="81" t="n">
        <x:v>-73.9855</x:v>
      </x:c>
      <x:c r="K36" s="54" t="str">
        <x:v>Listo · media</x:v>
      </x:c>
      <x:c r="L36" s="54" t="str">
        <x:v>https://www.google.com/maps/search/?api=1&amp;query=Times+Square%2C+New+York%2C+NY</x:v>
      </x:c>
      <x:c r="M36" s="54" t="str">
        <x:v>Geocode: Pin central representativo de Times Square.</x:v>
      </x:c>
      <x:c r="N36" s="54" t="str">
        <x:v>Guía PDF original</x:v>
      </x:c>
      <x:c r="O36" s="42" t="str">
        <x:v>Media</x:v>
      </x:c>
      <x:c r="P36" s="42" t="str">
        <x:v>https://www.google.com/maps/search/?api=1&amp;query=Times+Square%2C+New+York%2C+NY</x:v>
      </x:c>
      <x:c r="Q36" s="42" t="str">
        <x:v>Lat/lon + query geocoder</x:v>
      </x:c>
      <x:c r="R36" s="42" t="str">
        <x:v>Sí</x:v>
      </x:c>
    </x:row>
    <x:row r="37">
      <x:c r="A37" s="45" t="str">
        <x:v>DUMBO_WASHINGTON</x:v>
      </x:c>
      <x:c r="B37" s="54" t="str">
        <x:v>Washington Street DUMBO</x:v>
      </x:c>
      <x:c r="C37" s="54" t="str">
        <x:v>Washington Street &amp; Water Street, Brooklyn, NY</x:v>
      </x:c>
      <x:c r="D37" s="54"/>
      <x:c r="E37" s="54" t="str">
        <x:v>Foto</x:v>
      </x:c>
      <x:c r="F37" s="54" t="str">
        <x:v>Mié</x:v>
      </x:c>
      <x:c r="G37" s="54" t="str">
        <x:v>No</x:v>
      </x:c>
      <x:c r="H37" s="54" t="str">
        <x:v>Alta</x:v>
      </x:c>
      <x:c r="I37" s="81" t="n">
        <x:v>40.7031</x:v>
      </x:c>
      <x:c r="J37" s="81" t="n">
        <x:v>-73.98955</x:v>
      </x:c>
      <x:c r="K37" s="54" t="str">
        <x:v>Listo · alta</x:v>
      </x:c>
      <x:c r="L37" s="54" t="str">
        <x:v>https://www.google.com/maps/search/?api=1&amp;query=Washington+Street+%26+Water+Street%2C+Brooklyn%2C+NY</x:v>
      </x:c>
      <x:c r="M37" s="54" t="str">
        <x:v>Geocode: Washington St &amp; Water St.</x:v>
      </x:c>
      <x:c r="N37" s="54" t="str">
        <x:v>Guía PDF original</x:v>
      </x:c>
      <x:c r="O37" s="42" t="str">
        <x:v>Alta</x:v>
      </x:c>
      <x:c r="P37" s="42" t="str">
        <x:v>https://www.google.com/maps/search/?api=1&amp;query=Washington+Street+%26+Water+Street%2C+Brooklyn%2C+NY</x:v>
      </x:c>
      <x:c r="Q37" s="42" t="str">
        <x:v>Lat/lon + query geocoder</x:v>
      </x:c>
      <x:c r="R37" s="42" t="str">
        <x:v>No</x:v>
      </x:c>
    </x:row>
    <x:row r="38">
      <x:c r="A38" s="45" t="str">
        <x:v>MAIN_ST_PARK</x:v>
      </x:c>
      <x:c r="B38" s="54" t="str">
        <x:v>Main Street Park</x:v>
      </x:c>
      <x:c r="C38" s="54" t="str">
        <x:v>Main Street Park, Brooklyn, NY</x:v>
      </x:c>
      <x:c r="D38" s="54"/>
      <x:c r="E38" s="54" t="str">
        <x:v>Parque</x:v>
      </x:c>
      <x:c r="F38" s="54" t="str">
        <x:v>Mié</x:v>
      </x:c>
      <x:c r="G38" s="54" t="str">
        <x:v>No</x:v>
      </x:c>
      <x:c r="H38" s="54" t="str">
        <x:v>Normal</x:v>
      </x:c>
      <x:c r="I38" s="81" t="n">
        <x:v>40.70355</x:v>
      </x:c>
      <x:c r="J38" s="81" t="n">
        <x:v>-73.98985</x:v>
      </x:c>
      <x:c r="K38" s="54" t="str">
        <x:v>Listo · media</x:v>
      </x:c>
      <x:c r="L38" s="54" t="str">
        <x:v>https://www.google.com/maps/search/?api=1&amp;query=Main+Street+Park%2C+Brooklyn%2C+NY</x:v>
      </x:c>
      <x:c r="M38" s="54" t="str">
        <x:v>Geocode: Main Street section, Brooklyn Bridge Park.</x:v>
      </x:c>
      <x:c r="N38" s="54" t="str">
        <x:v>Guía PDF original</x:v>
      </x:c>
      <x:c r="O38" s="42" t="str">
        <x:v>Media</x:v>
      </x:c>
      <x:c r="P38" s="42" t="str">
        <x:v>https://www.google.com/maps/search/?api=1&amp;query=Main+Street+Park%2C+Brooklyn%2C+NY</x:v>
      </x:c>
      <x:c r="Q38" s="42" t="str">
        <x:v>Lat/lon + query geocoder</x:v>
      </x:c>
      <x:c r="R38" s="42" t="str">
        <x:v>Sí</x:v>
      </x:c>
    </x:row>
    <x:row r="39">
      <x:c r="A39" s="45" t="str">
        <x:v>PEBBLE_BEACH</x:v>
      </x:c>
      <x:c r="B39" s="54" t="str">
        <x:v>Pebble Beach Brooklyn</x:v>
      </x:c>
      <x:c r="C39" s="54" t="str">
        <x:v>Pebble Beach, Brooklyn Bridge Park, Brooklyn, NY</x:v>
      </x:c>
      <x:c r="D39" s="54"/>
      <x:c r="E39" s="54" t="str">
        <x:v>Mirador</x:v>
      </x:c>
      <x:c r="F39" s="54" t="str">
        <x:v>Mié</x:v>
      </x:c>
      <x:c r="G39" s="54" t="str">
        <x:v>No</x:v>
      </x:c>
      <x:c r="H39" s="54" t="str">
        <x:v>Alta</x:v>
      </x:c>
      <x:c r="I39" s="81" t="n">
        <x:v>40.70437</x:v>
      </x:c>
      <x:c r="J39" s="81" t="n">
        <x:v>-73.99024</x:v>
      </x:c>
      <x:c r="K39" s="54" t="str">
        <x:v>Listo · alta</x:v>
      </x:c>
      <x:c r="L39" s="54" t="str">
        <x:v>https://www.google.com/maps/search/?api=1&amp;query=Pebble+Beach%2C+Brooklyn+Bridge+Park%2C+Brooklyn%2C+NY</x:v>
      </x:c>
      <x:c r="M39" s="54" t="str">
        <x:v>Geocode: Pebble Beach, Main Street.</x:v>
      </x:c>
      <x:c r="N39" s="54" t="str">
        <x:v>Guía PDF original</x:v>
      </x:c>
      <x:c r="O39" s="42" t="str">
        <x:v>Alta</x:v>
      </x:c>
      <x:c r="P39" s="42" t="str">
        <x:v>https://www.google.com/maps/search/?api=1&amp;query=Pebble+Beach%2C+Brooklyn+Bridge+Park%2C+Brooklyn%2C+NY</x:v>
      </x:c>
      <x:c r="Q39" s="42" t="str">
        <x:v>Lat/lon + query geocoder</x:v>
      </x:c>
      <x:c r="R39" s="42" t="str">
        <x:v>No</x:v>
      </x:c>
    </x:row>
    <x:row r="40">
      <x:c r="A40" s="45" t="str">
        <x:v>JANE_CAROUSEL</x:v>
      </x:c>
      <x:c r="B40" s="54" t="str">
        <x:v>Jane's Carousel</x:v>
      </x:c>
      <x:c r="C40" s="54" t="str">
        <x:v>Jane's Carousel, Brooklyn, NY</x:v>
      </x:c>
      <x:c r="D40" s="54" t="str">
        <x:v>1 Old Dock St, Brooklyn, NY 11201</x:v>
      </x:c>
      <x:c r="E40" s="54" t="str">
        <x:v>Atracción</x:v>
      </x:c>
      <x:c r="F40" s="54" t="str">
        <x:v>Mié</x:v>
      </x:c>
      <x:c r="G40" s="54" t="str">
        <x:v>No</x:v>
      </x:c>
      <x:c r="H40" s="54" t="str">
        <x:v>Normal</x:v>
      </x:c>
      <x:c r="I40" s="81" t="n">
        <x:v>40.70463</x:v>
      </x:c>
      <x:c r="J40" s="81" t="n">
        <x:v>-73.99228</x:v>
      </x:c>
      <x:c r="K40" s="54" t="str">
        <x:v>Listo · alta</x:v>
      </x:c>
      <x:c r="L40" s="54" t="str">
        <x:v>https://www.google.com/maps/search/?api=1&amp;query=Jane%27s+Carousel%2C+Brooklyn%2C+NY</x:v>
      </x:c>
      <x:c r="M40" s="54" t="str">
        <x:v>Geocode: 1 Old Dock St.</x:v>
      </x:c>
      <x:c r="N40" s="54" t="str">
        <x:v>Guía PDF original</x:v>
      </x:c>
      <x:c r="O40" s="42" t="str">
        <x:v>Alta</x:v>
      </x:c>
      <x:c r="P40" s="42" t="str">
        <x:v>https://www.google.com/maps/search/?api=1&amp;query=Jane%27s+Carousel%2C+Brooklyn%2C+NY</x:v>
      </x:c>
      <x:c r="Q40" s="42" t="str">
        <x:v>Lat/lon + query geocoder</x:v>
      </x:c>
      <x:c r="R40" s="42" t="str">
        <x:v>No</x:v>
      </x:c>
    </x:row>
    <x:row r="41">
      <x:c r="A41" s="45" t="str">
        <x:v>BK_PROMENADE</x:v>
      </x:c>
      <x:c r="B41" s="54" t="str">
        <x:v>Brooklyn Heights Promenade</x:v>
      </x:c>
      <x:c r="C41" s="54" t="str">
        <x:v>Brooklyn Heights Promenade Remsen Street entrance, Brooklyn, NY</x:v>
      </x:c>
      <x:c r="D41" s="54" t="str">
        <x:v>Remsen St at Brooklyn Heights Promenade, Brooklyn, NY</x:v>
      </x:c>
      <x:c r="E41" s="54" t="str">
        <x:v>Mirador</x:v>
      </x:c>
      <x:c r="F41" s="54" t="str">
        <x:v>Mié</x:v>
      </x:c>
      <x:c r="G41" s="54" t="str">
        <x:v>No</x:v>
      </x:c>
      <x:c r="H41" s="54" t="str">
        <x:v>Alta</x:v>
      </x:c>
      <x:c r="I41" s="81" t="n">
        <x:v>40.69695</x:v>
      </x:c>
      <x:c r="J41" s="81" t="n">
        <x:v>-73.99674</x:v>
      </x:c>
      <x:c r="K41" s="54" t="str">
        <x:v>Listo · media</x:v>
      </x:c>
      <x:c r="L41" s="54" t="str">
        <x:v>https://www.google.com/maps/search/?api=1&amp;query=Brooklyn+Heights+Promenade%2C+Brooklyn%2C+NY</x:v>
      </x:c>
      <x:c r="M41" s="54" t="str">
        <x:v>Ancla de inicio del paseo en el extremo sur; recorrer hacia Orange St antes del puente. Geocode: Ancla en el extremo sur/Remsen; recorrido luego hacia Orange St.</x:v>
      </x:c>
      <x:c r="N41" s="54" t="str">
        <x:v>Guía PDF original</x:v>
      </x:c>
      <x:c r="O41" s="42" t="str">
        <x:v>Media</x:v>
      </x:c>
      <x:c r="P41" s="42" t="str">
        <x:v>https://www.google.com/maps/search/?api=1&amp;query=Brooklyn+Heights+Promenade%2C+Brooklyn%2C+NY</x:v>
      </x:c>
      <x:c r="Q41" s="42" t="str">
        <x:v>Lat/lon + query geocoder</x:v>
      </x:c>
      <x:c r="R41" s="42" t="str">
        <x:v>Sí</x:v>
      </x:c>
    </x:row>
    <x:row r="42">
      <x:c r="A42" s="45" t="str">
        <x:v>BK_BRIDGE_BK</x:v>
      </x:c>
      <x:c r="B42" s="54" t="str">
        <x:v>Brooklyn Bridge — acceso Brooklyn</x:v>
      </x:c>
      <x:c r="C42" s="54" t="str">
        <x:v>Brooklyn Bridge Pedestrian Entrance Brooklyn, NY</x:v>
      </x:c>
      <x:c r="D42" s="54"/>
      <x:c r="E42" s="54" t="str">
        <x:v>Puente</x:v>
      </x:c>
      <x:c r="F42" s="54" t="str">
        <x:v>Mié</x:v>
      </x:c>
      <x:c r="G42" s="54" t="str">
        <x:v>No</x:v>
      </x:c>
      <x:c r="H42" s="54" t="str">
        <x:v>Alta</x:v>
      </x:c>
      <x:c r="I42" s="81" t="n">
        <x:v>40.70034</x:v>
      </x:c>
      <x:c r="J42" s="81" t="n">
        <x:v>-73.98958</x:v>
      </x:c>
      <x:c r="K42" s="54" t="str">
        <x:v>Listo · alta</x:v>
      </x:c>
      <x:c r="L42" s="54" t="str">
        <x:v>https://www.google.com/maps/search/?api=1&amp;query=Brooklyn+Bridge+Pedestrian+Entrance+Brooklyn%2C+NY</x:v>
      </x:c>
      <x:c r="M42" s="54" t="str">
        <x:v>Geocode: Acceso peatonal Prospect St &amp; Cadman Plaza East/Washington St.</x:v>
      </x:c>
      <x:c r="N42" s="54" t="str">
        <x:v>Guía PDF original</x:v>
      </x:c>
      <x:c r="O42" s="42" t="str">
        <x:v>Alta</x:v>
      </x:c>
      <x:c r="P42" s="42" t="str">
        <x:v>https://www.google.com/maps/search/?api=1&amp;query=Brooklyn+Bridge+Pedestrian+Entrance+Brooklyn%2C+NY</x:v>
      </x:c>
      <x:c r="Q42" s="42" t="str">
        <x:v>Lat/lon + query geocoder</x:v>
      </x:c>
      <x:c r="R42" s="42" t="str">
        <x:v>No</x:v>
      </x:c>
    </x:row>
    <x:row r="43">
      <x:c r="A43" s="45" t="str">
        <x:v>BK_BRIDGE_MH</x:v>
      </x:c>
      <x:c r="B43" s="54" t="str">
        <x:v>Brooklyn Bridge — lado Manhattan</x:v>
      </x:c>
      <x:c r="C43" s="54" t="str">
        <x:v>Brooklyn Bridge Manhattan Side, New York, NY</x:v>
      </x:c>
      <x:c r="D43" s="54"/>
      <x:c r="E43" s="54" t="str">
        <x:v>Puente</x:v>
      </x:c>
      <x:c r="F43" s="54" t="str">
        <x:v>Mié</x:v>
      </x:c>
      <x:c r="G43" s="54" t="str">
        <x:v>No</x:v>
      </x:c>
      <x:c r="H43" s="54" t="str">
        <x:v>Alta</x:v>
      </x:c>
      <x:c r="I43" s="81" t="n">
        <x:v>40.71172</x:v>
      </x:c>
      <x:c r="J43" s="81" t="n">
        <x:v>-74.00492</x:v>
      </x:c>
      <x:c r="K43" s="54" t="str">
        <x:v>Listo · alta</x:v>
      </x:c>
      <x:c r="L43" s="54" t="str">
        <x:v>https://www.google.com/maps/search/?api=1&amp;query=Brooklyn+Bridge+Manhattan+Side%2C+New+York%2C+NY</x:v>
      </x:c>
      <x:c r="M43" s="54" t="str">
        <x:v>Geocode: Salida/entrada peatonal junto a City Hall Park.</x:v>
      </x:c>
      <x:c r="N43" s="54" t="str">
        <x:v>Guía PDF original</x:v>
      </x:c>
      <x:c r="O43" s="42" t="str">
        <x:v>Alta</x:v>
      </x:c>
      <x:c r="P43" s="42" t="str">
        <x:v>https://www.google.com/maps/search/?api=1&amp;query=Brooklyn+Bridge+Manhattan+Side%2C+New+York%2C+NY</x:v>
      </x:c>
      <x:c r="Q43" s="42" t="str">
        <x:v>Lat/lon + query geocoder</x:v>
      </x:c>
      <x:c r="R43" s="42" t="str">
        <x:v>No</x:v>
      </x:c>
    </x:row>
    <x:row r="44">
      <x:c r="A44" s="45" t="str">
        <x:v>CHINATOWN</x:v>
      </x:c>
      <x:c r="B44" s="54" t="str">
        <x:v>Chinatown</x:v>
      </x:c>
      <x:c r="C44" s="54" t="str">
        <x:v>Mott Street &amp; Canal Street, New York, NY</x:v>
      </x:c>
      <x:c r="D44" s="54"/>
      <x:c r="E44" s="54" t="str">
        <x:v>Barrio</x:v>
      </x:c>
      <x:c r="F44" s="54" t="str">
        <x:v>Mié</x:v>
      </x:c>
      <x:c r="G44" s="54" t="str">
        <x:v>No</x:v>
      </x:c>
      <x:c r="H44" s="54" t="str">
        <x:v>Alta</x:v>
      </x:c>
      <x:c r="I44" s="81" t="n">
        <x:v>40.71855</x:v>
      </x:c>
      <x:c r="J44" s="81" t="n">
        <x:v>-73.99718</x:v>
      </x:c>
      <x:c r="K44" s="54" t="str">
        <x:v>Listo · alta</x:v>
      </x:c>
      <x:c r="L44" s="54" t="str">
        <x:v>https://www.google.com/maps/search/?api=1&amp;query=Mott+Street+%26+Canal+Street%2C+New+York%2C+NY</x:v>
      </x:c>
      <x:c r="M44" s="54" t="str">
        <x:v>Geocode: Mott St &amp; Canal St.</x:v>
      </x:c>
      <x:c r="N44" s="54" t="str">
        <x:v>Guía PDF original</x:v>
      </x:c>
      <x:c r="O44" s="42" t="str">
        <x:v>Alta</x:v>
      </x:c>
      <x:c r="P44" s="42" t="str">
        <x:v>https://www.google.com/maps/search/?api=1&amp;query=Mott+Street+%26+Canal+Street%2C+New+York%2C+NY</x:v>
      </x:c>
      <x:c r="Q44" s="42" t="str">
        <x:v>Lat/lon + query geocoder</x:v>
      </x:c>
      <x:c r="R44" s="42" t="str">
        <x:v>No</x:v>
      </x:c>
    </x:row>
    <x:row r="45">
      <x:c r="A45" s="45" t="str">
        <x:v>LITTLE_ITALY</x:v>
      </x:c>
      <x:c r="B45" s="54" t="str">
        <x:v>Little Italy</x:v>
      </x:c>
      <x:c r="C45" s="54" t="str">
        <x:v>Mulberry Street &amp; Broome Street, New York, NY</x:v>
      </x:c>
      <x:c r="D45" s="54"/>
      <x:c r="E45" s="54" t="str">
        <x:v>Barrio</x:v>
      </x:c>
      <x:c r="F45" s="54" t="str">
        <x:v>Mié</x:v>
      </x:c>
      <x:c r="G45" s="54" t="str">
        <x:v>No</x:v>
      </x:c>
      <x:c r="H45" s="54" t="str">
        <x:v>Normal</x:v>
      </x:c>
      <x:c r="I45" s="81" t="n">
        <x:v>40.72018</x:v>
      </x:c>
      <x:c r="J45" s="81" t="n">
        <x:v>-73.99734</x:v>
      </x:c>
      <x:c r="K45" s="54" t="str">
        <x:v>Listo · alta</x:v>
      </x:c>
      <x:c r="L45" s="54" t="str">
        <x:v>https://www.google.com/maps/search/?api=1&amp;query=Mulberry+Street+%26+Broome+Street%2C+New+York%2C+NY</x:v>
      </x:c>
      <x:c r="M45" s="54" t="str">
        <x:v>Geocode: Mulberry St &amp; Broome St.</x:v>
      </x:c>
      <x:c r="N45" s="54" t="str">
        <x:v>Guía PDF original</x:v>
      </x:c>
      <x:c r="O45" s="42" t="str">
        <x:v>Alta</x:v>
      </x:c>
      <x:c r="P45" s="42" t="str">
        <x:v>https://www.google.com/maps/search/?api=1&amp;query=Mulberry+Street+%26+Broome+Street%2C+New+York%2C+NY</x:v>
      </x:c>
      <x:c r="Q45" s="42" t="str">
        <x:v>Lat/lon + query geocoder</x:v>
      </x:c>
      <x:c r="R45" s="42" t="str">
        <x:v>No</x:v>
      </x:c>
    </x:row>
    <x:row r="46">
      <x:c r="A46" s="45" t="str">
        <x:v>SOHO</x:v>
      </x:c>
      <x:c r="B46" s="54" t="str">
        <x:v>SoHo</x:v>
      </x:c>
      <x:c r="C46" s="54" t="str">
        <x:v>Prince Street &amp; Broadway, New York, NY</x:v>
      </x:c>
      <x:c r="D46" s="54"/>
      <x:c r="E46" s="54" t="str">
        <x:v>Barrio</x:v>
      </x:c>
      <x:c r="F46" s="54" t="str">
        <x:v>Mié</x:v>
      </x:c>
      <x:c r="G46" s="54" t="str">
        <x:v>No</x:v>
      </x:c>
      <x:c r="H46" s="54" t="str">
        <x:v>Alta</x:v>
      </x:c>
      <x:c r="I46" s="81" t="n">
        <x:v>40.724</x:v>
      </x:c>
      <x:c r="J46" s="81" t="n">
        <x:v>-74.00046</x:v>
      </x:c>
      <x:c r="K46" s="54" t="str">
        <x:v>Listo · alta</x:v>
      </x:c>
      <x:c r="L46" s="54" t="str">
        <x:v>https://www.google.com/maps/search/?api=1&amp;query=Prince+Street+%26+Broadway%2C+New+York%2C+NY</x:v>
      </x:c>
      <x:c r="M46" s="54" t="str">
        <x:v>Geocode: Prince St &amp; Broadway.</x:v>
      </x:c>
      <x:c r="N46" s="54" t="str">
        <x:v>Guía PDF original</x:v>
      </x:c>
      <x:c r="O46" s="42" t="str">
        <x:v>Alta</x:v>
      </x:c>
      <x:c r="P46" s="42" t="str">
        <x:v>https://www.google.com/maps/search/?api=1&amp;query=Prince+Street+%26+Broadway%2C+New+York%2C+NY</x:v>
      </x:c>
      <x:c r="Q46" s="42" t="str">
        <x:v>Lat/lon + query geocoder</x:v>
      </x:c>
      <x:c r="R46" s="42" t="str">
        <x:v>No</x:v>
      </x:c>
    </x:row>
    <x:row r="47">
      <x:c r="A47" s="45" t="str">
        <x:v>WASHINGTON_SQ</x:v>
      </x:c>
      <x:c r="B47" s="54" t="str">
        <x:v>Washington Square Park</x:v>
      </x:c>
      <x:c r="C47" s="54" t="str">
        <x:v>Washington Square Park, New York, NY</x:v>
      </x:c>
      <x:c r="D47" s="54"/>
      <x:c r="E47" s="54" t="str">
        <x:v>Parque</x:v>
      </x:c>
      <x:c r="F47" s="54" t="str">
        <x:v>Mié</x:v>
      </x:c>
      <x:c r="G47" s="54" t="str">
        <x:v>No</x:v>
      </x:c>
      <x:c r="H47" s="54" t="str">
        <x:v>Alta</x:v>
      </x:c>
      <x:c r="I47" s="81" t="n">
        <x:v>40.73082</x:v>
      </x:c>
      <x:c r="J47" s="81" t="n">
        <x:v>-73.99733</x:v>
      </x:c>
      <x:c r="K47" s="54" t="str">
        <x:v>Listo · alta</x:v>
      </x:c>
      <x:c r="L47" s="54" t="str">
        <x:v>https://www.google.com/maps/search/?api=1&amp;query=Washington+Square+Park%2C+New+York%2C+NY</x:v>
      </x:c>
      <x:c r="M47" s="54" t="str">
        <x:v>Geocode: Washington Square Park.</x:v>
      </x:c>
      <x:c r="N47" s="54" t="str">
        <x:v>Guía PDF original</x:v>
      </x:c>
      <x:c r="O47" s="42" t="str">
        <x:v>Alta</x:v>
      </x:c>
      <x:c r="P47" s="42" t="str">
        <x:v>https://www.google.com/maps/search/?api=1&amp;query=Washington+Square+Park%2C+New+York%2C+NY</x:v>
      </x:c>
      <x:c r="Q47" s="42" t="str">
        <x:v>Lat/lon + query geocoder</x:v>
      </x:c>
      <x:c r="R47" s="42" t="str">
        <x:v>No</x:v>
      </x:c>
    </x:row>
    <x:row r="48">
      <x:c r="A48" s="45" t="str">
        <x:v>GREENWICH_VILLAGE</x:v>
      </x:c>
      <x:c r="B48" s="54" t="str">
        <x:v>Greenwich Village</x:v>
      </x:c>
      <x:c r="C48" s="54" t="str">
        <x:v>Bleecker Street &amp; MacDougal Street, New York, NY</x:v>
      </x:c>
      <x:c r="D48" s="54"/>
      <x:c r="E48" s="54" t="str">
        <x:v>Barrio</x:v>
      </x:c>
      <x:c r="F48" s="54" t="str">
        <x:v>Mié</x:v>
      </x:c>
      <x:c r="G48" s="54" t="str">
        <x:v>No</x:v>
      </x:c>
      <x:c r="H48" s="54" t="str">
        <x:v>Normal</x:v>
      </x:c>
      <x:c r="I48" s="81" t="n">
        <x:v>40.72938</x:v>
      </x:c>
      <x:c r="J48" s="81" t="n">
        <x:v>-74.00043</x:v>
      </x:c>
      <x:c r="K48" s="54" t="str">
        <x:v>Listo · alta</x:v>
      </x:c>
      <x:c r="L48" s="54" t="str">
        <x:v>https://www.google.com/maps/search/?api=1&amp;query=Bleecker+Street+%26+MacDougal+Street%2C+New+York%2C+NY</x:v>
      </x:c>
      <x:c r="M48" s="54" t="str">
        <x:v>Geocode: Bleecker St &amp; MacDougal St.</x:v>
      </x:c>
      <x:c r="N48" s="54" t="str">
        <x:v>Guía PDF original</x:v>
      </x:c>
      <x:c r="O48" s="42" t="str">
        <x:v>Alta</x:v>
      </x:c>
      <x:c r="P48" s="42" t="str">
        <x:v>https://www.google.com/maps/search/?api=1&amp;query=Bleecker+Street+%26+MacDougal+Street%2C+New+York%2C+NY</x:v>
      </x:c>
      <x:c r="Q48" s="42" t="str">
        <x:v>Lat/lon + query geocoder</x:v>
      </x:c>
      <x:c r="R48" s="42" t="str">
        <x:v>No</x:v>
      </x:c>
    </x:row>
    <x:row r="49">
      <x:c r="A49" s="45" t="str">
        <x:v>LE_BAIN</x:v>
      </x:c>
      <x:c r="B49" s="54" t="str">
        <x:v>Le Bain</x:v>
      </x:c>
      <x:c r="C49" s="54" t="str">
        <x:v>Le Bain at The Standard High Line, New York, NY</x:v>
      </x:c>
      <x:c r="D49" s="54" t="str">
        <x:v>848 Washington St, New York, NY 10014</x:v>
      </x:c>
      <x:c r="E49" s="54" t="str">
        <x:v>Noche</x:v>
      </x:c>
      <x:c r="F49" s="54" t="str">
        <x:v>Mié</x:v>
      </x:c>
      <x:c r="G49" s="54" t="str">
        <x:v>No</x:v>
      </x:c>
      <x:c r="H49" s="54" t="str">
        <x:v>Normal</x:v>
      </x:c>
      <x:c r="I49" s="81" t="n">
        <x:v>40.74086</x:v>
      </x:c>
      <x:c r="J49" s="81" t="n">
        <x:v>-74.00878</x:v>
      </x:c>
      <x:c r="K49" s="54" t="str">
        <x:v>Listo · alta</x:v>
      </x:c>
      <x:c r="L49" s="54" t="str">
        <x:v>https://www.google.com/maps/search/?api=1&amp;query=Le+Bain+at+The+Standard+High+Line%2C+New+York%2C+NY</x:v>
      </x:c>
      <x:c r="M49" s="54" t="str">
        <x:v>Geocode: 848 Washington St.</x:v>
      </x:c>
      <x:c r="N49" s="54" t="str">
        <x:v>Guía PDF original</x:v>
      </x:c>
      <x:c r="O49" s="42" t="str">
        <x:v>Alta</x:v>
      </x:c>
      <x:c r="P49" s="42" t="str">
        <x:v>https://www.google.com/maps/search/?api=1&amp;query=Le+Bain+at+The+Standard+High+Line%2C+New+York%2C+NY</x:v>
      </x:c>
      <x:c r="Q49" s="42" t="str">
        <x:v>Lat/lon + query geocoder</x:v>
      </x:c>
      <x:c r="R49" s="42" t="str">
        <x:v>No</x:v>
      </x:c>
    </x:row>
    <x:row r="50">
      <x:c r="A50" s="45" t="str">
        <x:v>MARQUEE</x:v>
      </x:c>
      <x:c r="B50" s="54" t="str">
        <x:v>Marquee New York</x:v>
      </x:c>
      <x:c r="C50" s="54" t="str">
        <x:v>Marquee New York, 289 10th Ave, New York, NY</x:v>
      </x:c>
      <x:c r="D50" s="54" t="str">
        <x:v>289 10th Ave, New York, NY 10001</x:v>
      </x:c>
      <x:c r="E50" s="54" t="str">
        <x:v>Noche alternativa</x:v>
      </x:c>
      <x:c r="F50" s="54" t="str">
        <x:v>Mié</x:v>
      </x:c>
      <x:c r="G50" s="54" t="str">
        <x:v>No</x:v>
      </x:c>
      <x:c r="H50" s="54" t="str">
        <x:v>Normal</x:v>
      </x:c>
      <x:c r="I50" s="81" t="n">
        <x:v>40.7502</x:v>
      </x:c>
      <x:c r="J50" s="81" t="n">
        <x:v>-74.00262</x:v>
      </x:c>
      <x:c r="K50" s="54" t="str">
        <x:v>Listo · alta</x:v>
      </x:c>
      <x:c r="L50" s="54" t="str">
        <x:v>https://www.google.com/maps/search/?api=1&amp;query=Marquee+New+York%2C+289+10th+Ave%2C+New+York%2C+NY</x:v>
      </x:c>
      <x:c r="M50" s="54" t="str">
        <x:v>Geocode: 289 10th Ave.</x:v>
      </x:c>
      <x:c r="N50" s="54" t="str">
        <x:v>Guía PDF original</x:v>
      </x:c>
      <x:c r="O50" s="42" t="str">
        <x:v>Alta</x:v>
      </x:c>
      <x:c r="P50" s="42" t="str">
        <x:v>https://www.google.com/maps/search/?api=1&amp;query=Marquee+New+York%2C+289+10th+Ave%2C+New+York%2C+NY</x:v>
      </x:c>
      <x:c r="Q50" s="42" t="str">
        <x:v>Lat/lon + query geocoder</x:v>
      </x:c>
      <x:c r="R50" s="42" t="str">
        <x:v>No</x:v>
      </x:c>
    </x:row>
    <x:row r="51">
      <x:c r="A51" s="45" t="str">
        <x:v>PORCHLIGHT</x:v>
      </x:c>
      <x:c r="B51" s="54" t="str">
        <x:v>Porchlight</x:v>
      </x:c>
      <x:c r="C51" s="54" t="str">
        <x:v>Porchlight, New York, NY</x:v>
      </x:c>
      <x:c r="D51" s="54" t="str">
        <x:v>271 11th Ave, New York, NY 10001</x:v>
      </x:c>
      <x:c r="E51" s="54" t="str">
        <x:v>Bar alternativo</x:v>
      </x:c>
      <x:c r="F51" s="54" t="str">
        <x:v>Mié</x:v>
      </x:c>
      <x:c r="G51" s="54" t="str">
        <x:v>No</x:v>
      </x:c>
      <x:c r="H51" s="54" t="str">
        <x:v>Normal</x:v>
      </x:c>
      <x:c r="I51" s="81" t="n">
        <x:v>40.7525</x:v>
      </x:c>
      <x:c r="J51" s="81" t="n">
        <x:v>-74.00545</x:v>
      </x:c>
      <x:c r="K51" s="54" t="str">
        <x:v>Listo · alta</x:v>
      </x:c>
      <x:c r="L51" s="54" t="str">
        <x:v>https://www.google.com/maps/search/?api=1&amp;query=Porchlight%2C+New+York%2C+NY</x:v>
      </x:c>
      <x:c r="M51" s="54" t="str">
        <x:v>Geocode: 271 11th Ave.</x:v>
      </x:c>
      <x:c r="N51" s="54" t="str">
        <x:v>Guía PDF original</x:v>
      </x:c>
      <x:c r="O51" s="42" t="str">
        <x:v>Alta</x:v>
      </x:c>
      <x:c r="P51" s="42" t="str">
        <x:v>https://www.google.com/maps/search/?api=1&amp;query=Porchlight%2C+New+York%2C+NY</x:v>
      </x:c>
      <x:c r="Q51" s="42" t="str">
        <x:v>Lat/lon + query geocoder</x:v>
      </x:c>
      <x:c r="R51" s="42" t="str">
        <x:v>No</x:v>
      </x:c>
    </x:row>
    <x:row r="52">
      <x:c r="A52" s="45" t="str">
        <x:v>HIGHLINE_W20</x:v>
      </x:c>
      <x:c r="B52" s="54" t="str">
        <x:v>High Line — acceso W20</x:v>
      </x:c>
      <x:c r="C52" s="54" t="str">
        <x:v>High Line West 20th Street entrance, New York, NY</x:v>
      </x:c>
      <x:c r="D52" s="54"/>
      <x:c r="E52" s="54" t="str">
        <x:v>Paseo</x:v>
      </x:c>
      <x:c r="F52" s="54" t="str">
        <x:v>Jue</x:v>
      </x:c>
      <x:c r="G52" s="54" t="str">
        <x:v>No</x:v>
      </x:c>
      <x:c r="H52" s="54" t="str">
        <x:v>Alta</x:v>
      </x:c>
      <x:c r="I52" s="81" t="n">
        <x:v>40.7467</x:v>
      </x:c>
      <x:c r="J52" s="81" t="n">
        <x:v>-74.00655</x:v>
      </x:c>
      <x:c r="K52" s="54" t="str">
        <x:v>Listo · media</x:v>
      </x:c>
      <x:c r="L52" s="54" t="str">
        <x:v>https://www.google.com/maps/search/?api=1&amp;query=High+Line+West+20th+Street+entrance%2C+New+York%2C+NY</x:v>
      </x:c>
      <x:c r="M52" s="54" t="str">
        <x:v>Geocode: Acceso High Line cercano a W20.</x:v>
      </x:c>
      <x:c r="N52" s="54" t="str">
        <x:v>Guía PDF original</x:v>
      </x:c>
      <x:c r="O52" s="42" t="str">
        <x:v>Media</x:v>
      </x:c>
      <x:c r="P52" s="42" t="str">
        <x:v>https://www.google.com/maps/search/?api=1&amp;query=High+Line+West+20th+Street+entrance%2C+New+York%2C+NY</x:v>
      </x:c>
      <x:c r="Q52" s="42" t="str">
        <x:v>Lat/lon + query geocoder</x:v>
      </x:c>
      <x:c r="R52" s="42" t="str">
        <x:v>Sí</x:v>
      </x:c>
    </x:row>
    <x:row r="53">
      <x:c r="A53" s="45" t="str">
        <x:v>HIGHLINE_W30</x:v>
      </x:c>
      <x:c r="B53" s="54" t="str">
        <x:v>High Line — W30</x:v>
      </x:c>
      <x:c r="C53" s="54" t="str">
        <x:v>High Line West 30th Street, New York, NY</x:v>
      </x:c>
      <x:c r="D53" s="54"/>
      <x:c r="E53" s="54" t="str">
        <x:v>Paseo</x:v>
      </x:c>
      <x:c r="F53" s="54" t="str">
        <x:v>Jue</x:v>
      </x:c>
      <x:c r="G53" s="54" t="str">
        <x:v>No</x:v>
      </x:c>
      <x:c r="H53" s="54" t="str">
        <x:v>Alta</x:v>
      </x:c>
      <x:c r="I53" s="81" t="n">
        <x:v>40.75242</x:v>
      </x:c>
      <x:c r="J53" s="81" t="n">
        <x:v>-74.00208</x:v>
      </x:c>
      <x:c r="K53" s="54" t="str">
        <x:v>Listo · media</x:v>
      </x:c>
      <x:c r="L53" s="54" t="str">
        <x:v>https://www.google.com/maps/search/?api=1&amp;query=High+Line+West+30th+Street%2C+New+York%2C+NY</x:v>
      </x:c>
      <x:c r="M53" s="54" t="str">
        <x:v>Geocode: High Line / W30, salida hacia Hudson Yards.</x:v>
      </x:c>
      <x:c r="N53" s="54" t="str">
        <x:v>Guía PDF original</x:v>
      </x:c>
      <x:c r="O53" s="42" t="str">
        <x:v>Media</x:v>
      </x:c>
      <x:c r="P53" s="42" t="str">
        <x:v>https://www.google.com/maps/search/?api=1&amp;query=High+Line+West+30th+Street%2C+New+York%2C+NY</x:v>
      </x:c>
      <x:c r="Q53" s="42" t="str">
        <x:v>Lat/lon + query geocoder</x:v>
      </x:c>
      <x:c r="R53" s="42" t="str">
        <x:v>Sí</x:v>
      </x:c>
    </x:row>
    <x:row r="54">
      <x:c r="A54" s="45" t="str">
        <x:v>VESSEL</x:v>
      </x:c>
      <x:c r="B54" s="54" t="str">
        <x:v>Vessel / Hudson Yards</x:v>
      </x:c>
      <x:c r="C54" s="54" t="str">
        <x:v>Vessel Hudson Yards, New York, NY</x:v>
      </x:c>
      <x:c r="D54" s="54" t="str">
        <x:v>20 Hudson Yards, New York, NY 10001</x:v>
      </x:c>
      <x:c r="E54" s="54" t="str">
        <x:v>Atracción exterior</x:v>
      </x:c>
      <x:c r="F54" s="54" t="str">
        <x:v>Jue</x:v>
      </x:c>
      <x:c r="G54" s="54" t="str">
        <x:v>No</x:v>
      </x:c>
      <x:c r="H54" s="54" t="str">
        <x:v>Alta</x:v>
      </x:c>
      <x:c r="I54" s="81" t="n">
        <x:v>40.75381</x:v>
      </x:c>
      <x:c r="J54" s="81" t="n">
        <x:v>-74.00219</x:v>
      </x:c>
      <x:c r="K54" s="54" t="str">
        <x:v>Listo · alta</x:v>
      </x:c>
      <x:c r="L54" s="54" t="str">
        <x:v>https://www.google.com/maps/search/?api=1&amp;query=Vessel+Hudson+Yards%2C+New+York%2C+NY</x:v>
      </x:c>
      <x:c r="M54" s="54" t="str">
        <x:v>Geocode: 20 Hudson Yards.</x:v>
      </x:c>
      <x:c r="N54" s="54" t="str">
        <x:v>Guía PDF original</x:v>
      </x:c>
      <x:c r="O54" s="42" t="str">
        <x:v>Alta</x:v>
      </x:c>
      <x:c r="P54" s="42" t="str">
        <x:v>https://www.google.com/maps/search/?api=1&amp;query=Vessel+Hudson+Yards%2C+New+York%2C+NY</x:v>
      </x:c>
      <x:c r="Q54" s="42" t="str">
        <x:v>Lat/lon + query geocoder</x:v>
      </x:c>
      <x:c r="R54" s="42" t="str">
        <x:v>No</x:v>
      </x:c>
    </x:row>
    <x:row r="55">
      <x:c r="A55" s="45" t="str">
        <x:v>THE_SHED</x:v>
      </x:c>
      <x:c r="B55" s="54" t="str">
        <x:v>The Shed</x:v>
      </x:c>
      <x:c r="C55" s="54" t="str">
        <x:v>The Shed, New York, NY</x:v>
      </x:c>
      <x:c r="D55" s="54" t="str">
        <x:v>545 W 30th St, New York, NY 10001</x:v>
      </x:c>
      <x:c r="E55" s="54" t="str">
        <x:v>Hito</x:v>
      </x:c>
      <x:c r="F55" s="54" t="str">
        <x:v>Jue</x:v>
      </x:c>
      <x:c r="G55" s="54" t="str">
        <x:v>No</x:v>
      </x:c>
      <x:c r="H55" s="54" t="str">
        <x:v>Normal</x:v>
      </x:c>
      <x:c r="I55" s="81" t="n">
        <x:v>40.75362</x:v>
      </x:c>
      <x:c r="J55" s="81" t="n">
        <x:v>-74.00244</x:v>
      </x:c>
      <x:c r="K55" s="54" t="str">
        <x:v>Listo · alta</x:v>
      </x:c>
      <x:c r="L55" s="54" t="str">
        <x:v>https://www.google.com/maps/search/?api=1&amp;query=The+Shed%2C+New+York%2C+NY</x:v>
      </x:c>
      <x:c r="M55" s="54" t="str">
        <x:v>Geocode: 545 W30th St.</x:v>
      </x:c>
      <x:c r="N55" s="54" t="str">
        <x:v>Guía PDF original</x:v>
      </x:c>
      <x:c r="O55" s="42" t="str">
        <x:v>Alta</x:v>
      </x:c>
      <x:c r="P55" s="42" t="str">
        <x:v>https://www.google.com/maps/search/?api=1&amp;query=The+Shed%2C+New+York%2C+NY</x:v>
      </x:c>
      <x:c r="Q55" s="42" t="str">
        <x:v>Lat/lon + query geocoder</x:v>
      </x:c>
      <x:c r="R55" s="42" t="str">
        <x:v>No</x:v>
      </x:c>
    </x:row>
    <x:row r="56">
      <x:c r="A56" s="45" t="str">
        <x:v>SHOPS_HY</x:v>
      </x:c>
      <x:c r="B56" s="54" t="str">
        <x:v>The Shops at Hudson Yards</x:v>
      </x:c>
      <x:c r="C56" s="54" t="str">
        <x:v>The Shops at Hudson Yards, New York, NY</x:v>
      </x:c>
      <x:c r="D56" s="54" t="str">
        <x:v>20 Hudson Yards, New York, NY 10001</x:v>
      </x:c>
      <x:c r="E56" s="54" t="str">
        <x:v>Compras/baños</x:v>
      </x:c>
      <x:c r="F56" s="54" t="str">
        <x:v>Jue</x:v>
      </x:c>
      <x:c r="G56" s="54" t="str">
        <x:v>No</x:v>
      </x:c>
      <x:c r="H56" s="54" t="str">
        <x:v>Normal</x:v>
      </x:c>
      <x:c r="I56" s="81" t="n">
        <x:v>40.75394</x:v>
      </x:c>
      <x:c r="J56" s="81" t="n">
        <x:v>-74.00164</x:v>
      </x:c>
      <x:c r="K56" s="54" t="str">
        <x:v>Listo · alta</x:v>
      </x:c>
      <x:c r="L56" s="54" t="str">
        <x:v>https://www.google.com/maps/search/?api=1&amp;query=The+Shops+at+Hudson+Yards%2C+New+York%2C+NY</x:v>
      </x:c>
      <x:c r="M56" s="54" t="str">
        <x:v>Geocode: 20 Hudson Yards.</x:v>
      </x:c>
      <x:c r="N56" s="54" t="str">
        <x:v>Guía PDF original</x:v>
      </x:c>
      <x:c r="O56" s="42" t="str">
        <x:v>Alta</x:v>
      </x:c>
      <x:c r="P56" s="42" t="str">
        <x:v>https://www.google.com/maps/search/?api=1&amp;query=The+Shops+at+Hudson+Yards%2C+New+York%2C+NY</x:v>
      </x:c>
      <x:c r="Q56" s="42" t="str">
        <x:v>Lat/lon + query geocoder</x:v>
      </x:c>
      <x:c r="R56" s="42" t="str">
        <x:v>No</x:v>
      </x:c>
    </x:row>
    <x:row r="57">
      <x:c r="A57" s="45" t="str">
        <x:v>MOYNIHAN</x:v>
      </x:c>
      <x:c r="B57" s="54" t="str">
        <x:v>Moynihan Train Hall</x:v>
      </x:c>
      <x:c r="C57" s="54" t="str">
        <x:v>Moynihan Train Hall, New York, NY</x:v>
      </x:c>
      <x:c r="D57" s="54" t="str">
        <x:v>421 8th Ave, New York, NY 10001</x:v>
      </x:c>
      <x:c r="E57" s="54" t="str">
        <x:v>Atracción breve</x:v>
      </x:c>
      <x:c r="F57" s="54" t="str">
        <x:v>Jue</x:v>
      </x:c>
      <x:c r="G57" s="54" t="str">
        <x:v>Sí</x:v>
      </x:c>
      <x:c r="H57" s="54" t="str">
        <x:v>Alta</x:v>
      </x:c>
      <x:c r="I57" s="81" t="n">
        <x:v>40.75063</x:v>
      </x:c>
      <x:c r="J57" s="81" t="n">
        <x:v>-73.9935</x:v>
      </x:c>
      <x:c r="K57" s="54" t="str">
        <x:v>Listo · alta</x:v>
      </x:c>
      <x:c r="L57" s="54" t="str">
        <x:v>https://www.google.com/maps/search/?api=1&amp;query=Moynihan+Train+Hall%2C+New+York%2C+NY</x:v>
      </x:c>
      <x:c r="M57" s="54" t="str">
        <x:v>Agregado nuevo. Geocode: 421 8th Ave.</x:v>
      </x:c>
      <x:c r="N57" s="54" t="str">
        <x:v>Revisión del itinerario · 10 Sep 2026</x:v>
      </x:c>
      <x:c r="O57" s="42" t="str">
        <x:v>Alta</x:v>
      </x:c>
      <x:c r="P57" s="42" t="str">
        <x:v>https://www.google.com/maps/search/?api=1&amp;query=Moynihan+Train+Hall%2C+New+York%2C+NY</x:v>
      </x:c>
      <x:c r="Q57" s="42" t="str">
        <x:v>Lat/lon + query geocoder</x:v>
      </x:c>
      <x:c r="R57" s="42" t="str">
        <x:v>No</x:v>
      </x:c>
    </x:row>
    <x:row r="58">
      <x:c r="A58" s="45" t="str">
        <x:v>HERALD_SQ</x:v>
      </x:c>
      <x:c r="B58" s="54" t="str">
        <x:v>Herald Square</x:v>
      </x:c>
      <x:c r="C58" s="54" t="str">
        <x:v>Herald Square, New York, NY</x:v>
      </x:c>
      <x:c r="D58" s="54"/>
      <x:c r="E58" s="54" t="str">
        <x:v>Plaza</x:v>
      </x:c>
      <x:c r="F58" s="54" t="str">
        <x:v>Jue</x:v>
      </x:c>
      <x:c r="G58" s="54" t="str">
        <x:v>Sí</x:v>
      </x:c>
      <x:c r="H58" s="54" t="str">
        <x:v>Normal</x:v>
      </x:c>
      <x:c r="I58" s="81" t="n">
        <x:v>40.75048</x:v>
      </x:c>
      <x:c r="J58" s="81" t="n">
        <x:v>-73.98765</x:v>
      </x:c>
      <x:c r="K58" s="54" t="str">
        <x:v>Listo · alta</x:v>
      </x:c>
      <x:c r="L58" s="54" t="str">
        <x:v>https://www.google.com/maps/search/?api=1&amp;query=Herald+Square%2C+New+York%2C+NY</x:v>
      </x:c>
      <x:c r="M58" s="54" t="str">
        <x:v>Agregado nuevo. Geocode: Herald Square / Broadway &amp; 34th.</x:v>
      </x:c>
      <x:c r="N58" s="54" t="str">
        <x:v>Revisión del itinerario · 10 Sep 2026</x:v>
      </x:c>
      <x:c r="O58" s="42" t="str">
        <x:v>Alta</x:v>
      </x:c>
      <x:c r="P58" s="42" t="str">
        <x:v>https://www.google.com/maps/search/?api=1&amp;query=Herald+Square%2C+New+York%2C+NY</x:v>
      </x:c>
      <x:c r="Q58" s="42" t="str">
        <x:v>Lat/lon + query geocoder</x:v>
      </x:c>
      <x:c r="R58" s="42" t="str">
        <x:v>No</x:v>
      </x:c>
    </x:row>
    <x:row r="59">
      <x:c r="A59" s="45" t="str">
        <x:v>MACYS</x:v>
      </x:c>
      <x:c r="B59" s="54" t="str">
        <x:v>Macy's Herald Square</x:v>
      </x:c>
      <x:c r="C59" s="54" t="str">
        <x:v>Macy's Herald Square, New York, NY</x:v>
      </x:c>
      <x:c r="D59" s="54" t="str">
        <x:v>151 W 34th St, New York, NY 10001</x:v>
      </x:c>
      <x:c r="E59" s="54" t="str">
        <x:v>Tienda</x:v>
      </x:c>
      <x:c r="F59" s="54" t="str">
        <x:v>Jue</x:v>
      </x:c>
      <x:c r="G59" s="54" t="str">
        <x:v>Sí</x:v>
      </x:c>
      <x:c r="H59" s="54" t="str">
        <x:v>Normal</x:v>
      </x:c>
      <x:c r="I59" s="81" t="n">
        <x:v>40.7508</x:v>
      </x:c>
      <x:c r="J59" s="81" t="n">
        <x:v>-73.98904</x:v>
      </x:c>
      <x:c r="K59" s="54" t="str">
        <x:v>Listo · alta</x:v>
      </x:c>
      <x:c r="L59" s="54" t="str">
        <x:v>https://www.google.com/maps/search/?api=1&amp;query=Macy%27s+Herald+Square%2C+New+York%2C+NY</x:v>
      </x:c>
      <x:c r="M59" s="54" t="str">
        <x:v>Agregado nuevo; opcional. Geocode: 151 W34th St.</x:v>
      </x:c>
      <x:c r="N59" s="54" t="str">
        <x:v>Revisión del itinerario · 10 Sep 2026</x:v>
      </x:c>
      <x:c r="O59" s="42" t="str">
        <x:v>Alta</x:v>
      </x:c>
      <x:c r="P59" s="42" t="str">
        <x:v>https://www.google.com/maps/search/?api=1&amp;query=Macy%27s+Herald+Square%2C+New+York%2C+NY</x:v>
      </x:c>
      <x:c r="Q59" s="42" t="str">
        <x:v>Lat/lon + query geocoder</x:v>
      </x:c>
      <x:c r="R59" s="42" t="str">
        <x:v>No</x:v>
      </x:c>
    </x:row>
    <x:row r="60">
      <x:c r="A60" s="45" t="str">
        <x:v>EMPIRE</x:v>
      </x:c>
      <x:c r="B60" s="54" t="str">
        <x:v>Empire State Building — exterior</x:v>
      </x:c>
      <x:c r="C60" s="54" t="str">
        <x:v>Empire State Building, New York, NY</x:v>
      </x:c>
      <x:c r="D60" s="54" t="str">
        <x:v>350 5th Ave, New York, NY 10118</x:v>
      </x:c>
      <x:c r="E60" s="54" t="str">
        <x:v>Hito</x:v>
      </x:c>
      <x:c r="F60" s="54" t="str">
        <x:v>Jue</x:v>
      </x:c>
      <x:c r="G60" s="54" t="str">
        <x:v>Sí</x:v>
      </x:c>
      <x:c r="H60" s="54" t="str">
        <x:v>Alta</x:v>
      </x:c>
      <x:c r="I60" s="81" t="n">
        <x:v>40.74844</x:v>
      </x:c>
      <x:c r="J60" s="81" t="n">
        <x:v>-73.98566</x:v>
      </x:c>
      <x:c r="K60" s="54" t="str">
        <x:v>Listo · alta</x:v>
      </x:c>
      <x:c r="L60" s="54" t="str">
        <x:v>https://www.google.com/maps/search/?api=1&amp;query=Empire+State+Building%2C+New+York%2C+NY</x:v>
      </x:c>
      <x:c r="M60" s="54" t="str">
        <x:v>Agregado nuevo; sólo exterior. Geocode: 350 Fifth Ave.</x:v>
      </x:c>
      <x:c r="N60" s="54" t="str">
        <x:v>Revisión del itinerario · 10 Sep 2026</x:v>
      </x:c>
      <x:c r="O60" s="42" t="str">
        <x:v>Alta</x:v>
      </x:c>
      <x:c r="P60" s="42" t="str">
        <x:v>https://www.google.com/maps/search/?api=1&amp;query=Empire+State+Building%2C+New+York%2C+NY</x:v>
      </x:c>
      <x:c r="Q60" s="42" t="str">
        <x:v>Lat/lon + query geocoder</x:v>
      </x:c>
      <x:c r="R60" s="42" t="str">
        <x:v>No</x:v>
      </x:c>
    </x:row>
    <x:row r="61">
      <x:c r="A61" s="45" t="str">
        <x:v>BRYANT_PARK</x:v>
      </x:c>
      <x:c r="B61" s="54" t="str">
        <x:v>Bryant Park</x:v>
      </x:c>
      <x:c r="C61" s="54" t="str">
        <x:v>Bryant Park, New York, NY</x:v>
      </x:c>
      <x:c r="D61" s="54"/>
      <x:c r="E61" s="54" t="str">
        <x:v>Parque</x:v>
      </x:c>
      <x:c r="F61" s="54" t="str">
        <x:v>Jue</x:v>
      </x:c>
      <x:c r="G61" s="54" t="str">
        <x:v>No</x:v>
      </x:c>
      <x:c r="H61" s="54" t="str">
        <x:v>Alta</x:v>
      </x:c>
      <x:c r="I61" s="81" t="n">
        <x:v>40.7536</x:v>
      </x:c>
      <x:c r="J61" s="81" t="n">
        <x:v>-73.98323</x:v>
      </x:c>
      <x:c r="K61" s="54" t="str">
        <x:v>Listo · alta</x:v>
      </x:c>
      <x:c r="L61" s="54" t="str">
        <x:v>https://www.google.com/maps/search/?api=1&amp;query=Bryant+Park%2C+New+York%2C+NY</x:v>
      </x:c>
      <x:c r="M61" s="54" t="str">
        <x:v>Geocode: Bryant Park.</x:v>
      </x:c>
      <x:c r="N61" s="54" t="str">
        <x:v>Guía PDF original</x:v>
      </x:c>
      <x:c r="O61" s="42" t="str">
        <x:v>Alta</x:v>
      </x:c>
      <x:c r="P61" s="42" t="str">
        <x:v>https://www.google.com/maps/search/?api=1&amp;query=Bryant+Park%2C+New+York%2C+NY</x:v>
      </x:c>
      <x:c r="Q61" s="42" t="str">
        <x:v>Lat/lon + query geocoder</x:v>
      </x:c>
      <x:c r="R61" s="42" t="str">
        <x:v>No</x:v>
      </x:c>
    </x:row>
    <x:row r="62">
      <x:c r="A62" s="45" t="str">
        <x:v>NYPL_MAIN</x:v>
      </x:c>
      <x:c r="B62" s="54" t="str">
        <x:v>NY Public Library — edificio principal</x:v>
      </x:c>
      <x:c r="C62" s="54" t="str">
        <x:v>New York Public Library Stephen A. Schwarzman Building, New York, NY</x:v>
      </x:c>
      <x:c r="D62" s="54" t="str">
        <x:v>476 5th Ave, New York, NY 10018</x:v>
      </x:c>
      <x:c r="E62" s="54" t="str">
        <x:v>Biblioteca</x:v>
      </x:c>
      <x:c r="F62" s="54" t="str">
        <x:v>Jue</x:v>
      </x:c>
      <x:c r="G62" s="54" t="str">
        <x:v>No</x:v>
      </x:c>
      <x:c r="H62" s="54" t="str">
        <x:v>Alta</x:v>
      </x:c>
      <x:c r="I62" s="81" t="n">
        <x:v>40.75319</x:v>
      </x:c>
      <x:c r="J62" s="81" t="n">
        <x:v>-73.98231</x:v>
      </x:c>
      <x:c r="K62" s="54" t="str">
        <x:v>Listo · alta</x:v>
      </x:c>
      <x:c r="L62" s="54" t="str">
        <x:v>https://www.google.com/maps/search/?api=1&amp;query=New+York+Public+Library+Stephen+A.+Schwarzman+Building%2C+New+York%2C+NY</x:v>
      </x:c>
      <x:c r="M62" s="54" t="str">
        <x:v>Geocode: 476 Fifth Ave.</x:v>
      </x:c>
      <x:c r="N62" s="54" t="str">
        <x:v>Guía PDF original</x:v>
      </x:c>
      <x:c r="O62" s="42" t="str">
        <x:v>Alta</x:v>
      </x:c>
      <x:c r="P62" s="42" t="str">
        <x:v>https://www.google.com/maps/search/?api=1&amp;query=New+York+Public+Library+Stephen+A.+Schwarzman+Building%2C+New+York%2C+NY</x:v>
      </x:c>
      <x:c r="Q62" s="42" t="str">
        <x:v>Lat/lon + query geocoder</x:v>
      </x:c>
      <x:c r="R62" s="42" t="str">
        <x:v>No</x:v>
      </x:c>
    </x:row>
    <x:row r="63">
      <x:c r="A63" s="45" t="str">
        <x:v>SNFL</x:v>
      </x:c>
      <x:c r="B63" s="54" t="str">
        <x:v>Stavros Niarchos Foundation Library</x:v>
      </x:c>
      <x:c r="C63" s="54" t="str">
        <x:v>Stavros Niarchos Foundation Library, New York, NY</x:v>
      </x:c>
      <x:c r="D63" s="54" t="str">
        <x:v>455 5th Ave, New York, NY 10016</x:v>
      </x:c>
      <x:c r="E63" s="54" t="str">
        <x:v>Biblioteca/terraza</x:v>
      </x:c>
      <x:c r="F63" s="54" t="str">
        <x:v>Jue</x:v>
      </x:c>
      <x:c r="G63" s="54" t="str">
        <x:v>Sí</x:v>
      </x:c>
      <x:c r="H63" s="54" t="str">
        <x:v>Normal</x:v>
      </x:c>
      <x:c r="I63" s="81" t="n">
        <x:v>40.75194</x:v>
      </x:c>
      <x:c r="J63" s="81" t="n">
        <x:v>-73.98181</x:v>
      </x:c>
      <x:c r="K63" s="54" t="str">
        <x:v>Listo · alta</x:v>
      </x:c>
      <x:c r="L63" s="54" t="str">
        <x:v>https://www.google.com/maps/search/?api=1&amp;query=Stavros+Niarchos+Foundation+Library%2C+New+York%2C+NY</x:v>
      </x:c>
      <x:c r="M63" s="54" t="str">
        <x:v>Agregado nuevo; opcional. Geocode: 455 Fifth Ave.</x:v>
      </x:c>
      <x:c r="N63" s="54" t="str">
        <x:v>Revisión del itinerario · 10 Sep 2026</x:v>
      </x:c>
      <x:c r="O63" s="42" t="str">
        <x:v>Alta</x:v>
      </x:c>
      <x:c r="P63" s="42" t="str">
        <x:v>https://www.google.com/maps/search/?api=1&amp;query=Stavros+Niarchos+Foundation+Library%2C+New+York%2C+NY</x:v>
      </x:c>
      <x:c r="Q63" s="42" t="str">
        <x:v>Lat/lon + query geocoder</x:v>
      </x:c>
      <x:c r="R63" s="42" t="str">
        <x:v>No</x:v>
      </x:c>
    </x:row>
    <x:row r="64">
      <x:c r="A64" s="45" t="str">
        <x:v>GRAND_CENTRAL</x:v>
      </x:c>
      <x:c r="B64" s="54" t="str">
        <x:v>Grand Central Terminal</x:v>
      </x:c>
      <x:c r="C64" s="54" t="str">
        <x:v>Grand Central Terminal, New York, NY</x:v>
      </x:c>
      <x:c r="D64" s="54" t="str">
        <x:v>89 E 42nd St, New York, NY 10017</x:v>
      </x:c>
      <x:c r="E64" s="54" t="str">
        <x:v>Atracción</x:v>
      </x:c>
      <x:c r="F64" s="54" t="str">
        <x:v>Jue</x:v>
      </x:c>
      <x:c r="G64" s="54" t="str">
        <x:v>No</x:v>
      </x:c>
      <x:c r="H64" s="54" t="str">
        <x:v>Alta</x:v>
      </x:c>
      <x:c r="I64" s="81" t="n">
        <x:v>40.75273</x:v>
      </x:c>
      <x:c r="J64" s="81" t="n">
        <x:v>-73.97723</x:v>
      </x:c>
      <x:c r="K64" s="54" t="str">
        <x:v>Listo · alta</x:v>
      </x:c>
      <x:c r="L64" s="54" t="str">
        <x:v>https://www.google.com/maps/search/?api=1&amp;query=Grand+Central+Terminal%2C+New+York%2C+NY</x:v>
      </x:c>
      <x:c r="M64" s="54" t="str">
        <x:v>Geocode: 89 E42nd St.</x:v>
      </x:c>
      <x:c r="N64" s="54" t="str">
        <x:v>Guía PDF original</x:v>
      </x:c>
      <x:c r="O64" s="42" t="str">
        <x:v>Alta</x:v>
      </x:c>
      <x:c r="P64" s="42" t="str">
        <x:v>https://www.google.com/maps/search/?api=1&amp;query=Grand+Central+Terminal%2C+New+York%2C+NY</x:v>
      </x:c>
      <x:c r="Q64" s="42" t="str">
        <x:v>Lat/lon + query geocoder</x:v>
      </x:c>
      <x:c r="R64" s="42" t="str">
        <x:v>No</x:v>
      </x:c>
    </x:row>
    <x:row r="65">
      <x:c r="A65" s="45" t="str">
        <x:v>CHRYSLER</x:v>
      </x:c>
      <x:c r="B65" s="54" t="str">
        <x:v>Chrysler Building — exterior</x:v>
      </x:c>
      <x:c r="C65" s="54" t="str">
        <x:v>Chrysler Building, New York, NY</x:v>
      </x:c>
      <x:c r="D65" s="54" t="str">
        <x:v>405 Lexington Ave, New York, NY 10174</x:v>
      </x:c>
      <x:c r="E65" s="54" t="str">
        <x:v>Hito</x:v>
      </x:c>
      <x:c r="F65" s="54" t="str">
        <x:v>Jue</x:v>
      </x:c>
      <x:c r="G65" s="54" t="str">
        <x:v>No</x:v>
      </x:c>
      <x:c r="H65" s="54" t="str">
        <x:v>Normal</x:v>
      </x:c>
      <x:c r="I65" s="81" t="n">
        <x:v>40.75162</x:v>
      </x:c>
      <x:c r="J65" s="81" t="n">
        <x:v>-73.9755</x:v>
      </x:c>
      <x:c r="K65" s="54" t="str">
        <x:v>Listo · alta</x:v>
      </x:c>
      <x:c r="L65" s="54" t="str">
        <x:v>https://www.google.com/maps/search/?api=1&amp;query=Chrysler+Building%2C+New+York%2C+NY</x:v>
      </x:c>
      <x:c r="M65" s="54" t="str">
        <x:v>Geocode: 405 Lexington Ave.</x:v>
      </x:c>
      <x:c r="N65" s="54" t="str">
        <x:v>Guía PDF original</x:v>
      </x:c>
      <x:c r="O65" s="42" t="str">
        <x:v>Alta</x:v>
      </x:c>
      <x:c r="P65" s="42" t="str">
        <x:v>https://www.google.com/maps/search/?api=1&amp;query=Chrysler+Building%2C+New+York%2C+NY</x:v>
      </x:c>
      <x:c r="Q65" s="42" t="str">
        <x:v>Lat/lon + query geocoder</x:v>
      </x:c>
      <x:c r="R65" s="42" t="str">
        <x:v>No</x:v>
      </x:c>
    </x:row>
    <x:row r="66">
      <x:c r="A66" s="45" t="str">
        <x:v>TUDOR_BRIDGE</x:v>
      </x:c>
      <x:c r="B66" s="54" t="str">
        <x:v>Tudor City Bridge</x:v>
      </x:c>
      <x:c r="C66" s="54" t="str">
        <x:v>Tudor City Bridge East 42nd Street, New York, NY</x:v>
      </x:c>
      <x:c r="D66" s="54"/>
      <x:c r="E66" s="54" t="str">
        <x:v>Bonus</x:v>
      </x:c>
      <x:c r="F66" s="54" t="str">
        <x:v>Jue</x:v>
      </x:c>
      <x:c r="G66" s="54" t="str">
        <x:v>Sí</x:v>
      </x:c>
      <x:c r="H66" s="54" t="str">
        <x:v>Baja</x:v>
      </x:c>
      <x:c r="I66" s="81" t="n">
        <x:v>40.74895</x:v>
      </x:c>
      <x:c r="J66" s="81" t="n">
        <x:v>-73.97045</x:v>
      </x:c>
      <x:c r="K66" s="54" t="str">
        <x:v>Listo · media</x:v>
      </x:c>
      <x:c r="L66" s="54" t="str">
        <x:v>https://www.google.com/maps/search/?api=1&amp;query=Tudor+City+Bridge+East+42nd+Street%2C+New+York%2C+NY</x:v>
      </x:c>
      <x:c r="M66" s="54" t="str">
        <x:v>Nuevo; no programado. Sólo si hay &gt;40 min limpios. Geocode: E42nd St elevated Tudor City viewpoint.</x:v>
      </x:c>
      <x:c r="N66" s="54" t="str">
        <x:v>Revisión del itinerario · 10 Sep 2026</x:v>
      </x:c>
      <x:c r="O66" s="42" t="str">
        <x:v>Media</x:v>
      </x:c>
      <x:c r="P66" s="42" t="str">
        <x:v>https://www.google.com/maps/search/?api=1&amp;query=Tudor+City+Bridge+East+42nd+Street%2C+New+York%2C+NY</x:v>
      </x:c>
      <x:c r="Q66" s="42" t="str">
        <x:v>Lat/lon + query geocoder</x:v>
      </x:c>
      <x:c r="R66" s="42" t="str">
        <x:v>Sí</x:v>
      </x:c>
    </x:row>
    <x:row r="67">
      <x:c r="A67" s="45" t="str">
        <x:v>SUMMIT</x:v>
      </x:c>
      <x:c r="B67" s="54" t="str">
        <x:v>SUMMIT One Vanderbilt</x:v>
      </x:c>
      <x:c r="C67" s="54" t="str">
        <x:v>SUMMIT One Vanderbilt, New York, NY</x:v>
      </x:c>
      <x:c r="D67" s="54" t="str">
        <x:v>45 E 42nd St, New York, NY 10017</x:v>
      </x:c>
      <x:c r="E67" s="54" t="str">
        <x:v>Atracción</x:v>
      </x:c>
      <x:c r="F67" s="54" t="str">
        <x:v>Jue</x:v>
      </x:c>
      <x:c r="G67" s="54" t="str">
        <x:v>No</x:v>
      </x:c>
      <x:c r="H67" s="54" t="str">
        <x:v>Alta</x:v>
      </x:c>
      <x:c r="I67" s="81" t="n">
        <x:v>40.75281</x:v>
      </x:c>
      <x:c r="J67" s="81" t="n">
        <x:v>-73.97869</x:v>
      </x:c>
      <x:c r="K67" s="54" t="str">
        <x:v>Listo · alta</x:v>
      </x:c>
      <x:c r="L67" s="54" t="str">
        <x:v>https://www.google.com/maps/search/?api=1&amp;query=SUMMIT+One+Vanderbilt%2C+New+York%2C+NY</x:v>
      </x:c>
      <x:c r="M67" s="54" t="str">
        <x:v>Geocode: 45 E42nd St / One Vanderbilt.</x:v>
      </x:c>
      <x:c r="N67" s="54" t="str">
        <x:v>Guía PDF original</x:v>
      </x:c>
      <x:c r="O67" s="42" t="str">
        <x:v>Alta</x:v>
      </x:c>
      <x:c r="P67" s="42" t="str">
        <x:v>https://www.google.com/maps/search/?api=1&amp;query=SUMMIT+One+Vanderbilt%2C+New+York%2C+NY</x:v>
      </x:c>
      <x:c r="Q67" s="42" t="str">
        <x:v>Lat/lon + query geocoder</x:v>
      </x:c>
      <x:c r="R67" s="42" t="str">
        <x:v>No</x:v>
      </x:c>
    </x:row>
  </x:sheetData>
  <x:conditionalFormatting sqref="G2:G67">
    <x:cfRule type="expression" dxfId="2" priority="1">
      <x:formula>G2="Sí"</x:formula>
    </x:cfRule>
  </x:conditionalFormatting>
  <x:conditionalFormatting sqref="K2:K67">
    <x:cfRule type="expression" dxfId="5" priority="2">
      <x:formula>ISNUMBER(SEARCH("alta",K2))</x:formula>
    </x:cfRule>
    <x:cfRule type="expression" dxfId="6" priority="3">
      <x:formula>ISNUMBER(SEARCH("media",K2))</x:formula>
    </x:cfRule>
  </x:conditionalFormatting>
  <x:conditionalFormatting sqref="R2:R67">
    <x:cfRule type="expression" dxfId="7" priority="4">
      <x:formula>R2="Sí"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83894acb9f49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7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0" hidden="0" customWidth="1"/>
    <x:col min="10" max="10" width="22" hidden="0" customWidth="1"/>
    <x:col min="11" max="11" width="14" hidden="0" customWidth="1"/>
    <x:col min="12" max="12" width="9" hidden="0" customWidth="1"/>
    <x:col min="13" max="13" width="20" hidden="0" customWidth="1"/>
    <x:col min="14" max="14" width="16" hidden="0" customWidth="1"/>
    <x:col min="15" max="15" width="46" hidden="0" customWidth="1"/>
    <x:col min="16" max="16" width="18" hidden="0" customWidth="1"/>
    <x:col min="17" max="17" width="16" hidden="0" customWidth="1"/>
    <x:col min="18" max="18" width="48" hidden="0" customWidth="1"/>
    <x:col min="19" max="19" width="38" hidden="0" customWidth="1"/>
    <x:col min="20" max="20" width="38" hidden="0" customWidth="1"/>
    <x:col min="21" max="21" width="24" hidden="0" customWidth="1"/>
    <x:col min="22" max="22" width="16" hidden="0" customWidth="1"/>
    <x:col min="23" max="23" width="14" hidden="0" customWidth="1"/>
  </x:cols>
  <x:sheetData>
    <x:row r="1">
      <x:c r="A1" s="31" t="str">
        <x:v>Día</x:v>
      </x:c>
      <x:c r="B1" s="31" t="str">
        <x:v>Orden</x:v>
      </x:c>
      <x:c r="C1" s="31" t="str">
        <x:v>From_ID</x:v>
      </x:c>
      <x:c r="D1" s="31" t="str">
        <x:v>To_ID</x:v>
      </x:c>
      <x:c r="E1" s="31" t="str">
        <x:v>Modo</x:v>
      </x:c>
      <x:c r="F1" s="96" t="str">
        <x:v>Distancia a pie m (provisional)</x:v>
      </x:c>
      <x:c r="G1" s="96" t="str">
        <x:v>Tiempo a pie min</x:v>
      </x:c>
      <x:c r="H1" s="31" t="str">
        <x:v>Tiempo transporte plan min</x:v>
      </x:c>
      <x:c r="I1" s="31" t="str">
        <x:v>Opcional</x:v>
      </x:c>
      <x:c r="J1" s="31" t="str">
        <x:v>Grupo ruta</x:v>
      </x:c>
      <x:c r="K1" s="31" t="str">
        <x:v>Estilo mapa</x:v>
      </x:c>
      <x:c r="L1" s="31" t="str">
        <x:v>Nuevo</x:v>
      </x:c>
      <x:c r="M1" s="96" t="str">
        <x:v>Confianza distancia</x:v>
      </x:c>
      <x:c r="N1" s="96" t="str">
        <x:v>Verificar en mapa</x:v>
      </x:c>
      <x:c r="O1" s="31" t="str">
        <x:v>Notas</x:v>
      </x:c>
      <x:c r="P1" s="80" t="str">
        <x:v>Distancia auditada m</x:v>
      </x:c>
      <x:c r="Q1" s="80" t="str">
        <x:v>Min a 100 m/min</x:v>
      </x:c>
      <x:c r="R1" s="80" t="str">
        <x:v>Ruta / calles / waypoint</x:v>
      </x:c>
      <x:c r="S1" s="80" t="str">
        <x:v>URL Google Maps ruta</x:v>
      </x:c>
      <x:c r="T1" s="80" t="str">
        <x:v>Fuente routing</x:v>
      </x:c>
      <x:c r="U1" s="80" t="str">
        <x:v>Estado routing</x:v>
      </x:c>
      <x:c r="V1" s="80" t="str">
        <x:v>Confianza auditada</x:v>
      </x:c>
      <x:c r="W1" s="80" t="str">
        <x:v>Fecha auditoría</x:v>
      </x:c>
    </x:row>
    <x:row r="2">
      <x:c r="A2" s="45" t="str">
        <x:v>Dom 13</x:v>
      </x:c>
      <x:c r="B2" s="45" t="n">
        <x:v>1</x:v>
      </x:c>
      <x:c r="C2" s="45" t="str">
        <x:v>JFK</x:v>
      </x:c>
      <x:c r="D2" s="45" t="str">
        <x:v>JAMAICA</x:v>
      </x:c>
      <x:c r="E2" s="45" t="str">
        <x:v>AirTrain</x:v>
      </x:c>
      <x:c r="F2" s="93"/>
      <x:c r="G2" s="93" t="str">
        <x:f>IF(F2="","",ROUND(F2/'99_Parametros'!$B$2,1))</x:f>
      </x:c>
      <x:c r="H2" s="45" t="n">
        <x:v>20</x:v>
      </x:c>
      <x:c r="I2" s="45" t="str">
        <x:v>No</x:v>
      </x:c>
      <x:c r="J2" s="54" t="str">
        <x:v>arrival</x:v>
      </x:c>
      <x:c r="K2" s="54" t="str">
        <x:v>transit</x:v>
      </x:c>
      <x:c r="L2" s="54" t="str">
        <x:v>No</x:v>
      </x:c>
      <x:c r="M2" s="94" t="str">
        <x:v>Plan</x:v>
      </x:c>
      <x:c r="N2" s="94" t="str">
        <x:v>No</x:v>
      </x:c>
      <x:c r="O2" s="54" t="str">
        <x:v>No suma caminata.</x:v>
      </x:c>
      <x:c r="P2" s="8"/>
      <x:c r="Q2" s="8" t="str">
        <x:f>IF(P2="","",P2/'99_Parametros'!$B$2)</x:f>
      </x:c>
      <x:c r="R2" s="42" t="str"/>
      <x:c r="S2" s="42" t="str">
        <x:v>https://www.google.com/maps/dir/?api=1&amp;origin=John+F.+Kennedy+International+Airport&amp;destination=Jamaica+Station%2C+Queens%2C+NY&amp;travelmode=transit</x:v>
      </x:c>
      <x:c r="T2" s="42" t="str">
        <x:v>https://www.google.com/maps/dir/?api=1&amp;origin=John+F.+Kennedy+International+Airport&amp;destination=Jamaica+Station%2C+Queens%2C+NY&amp;travelmode=transit</x:v>
      </x:c>
      <x:c r="U2" s="42" t="str">
        <x:v>Transporte · sin distancia a pie</x:v>
      </x:c>
      <x:c r="V2" s="42" t="str">
        <x:v>Plan</x:v>
      </x:c>
      <x:c r="W2" s="42" t="str">
        <x:v>10/09/2026</x:v>
      </x:c>
    </x:row>
    <x:row r="3">
      <x:c r="A3" s="45" t="str">
        <x:v>Dom 13</x:v>
      </x:c>
      <x:c r="B3" s="45" t="n">
        <x:v>2</x:v>
      </x:c>
      <x:c r="C3" s="45" t="str">
        <x:v>JAMAICA</x:v>
      </x:c>
      <x:c r="D3" s="45" t="str">
        <x:v>PENN</x:v>
      </x:c>
      <x:c r="E3" s="45" t="str">
        <x:v>LIRR</x:v>
      </x:c>
      <x:c r="F3" s="93"/>
      <x:c r="G3" s="93" t="str">
        <x:f>IF(F3="","",ROUND(F3/'99_Parametros'!$B$2,1))</x:f>
      </x:c>
      <x:c r="H3" s="45" t="n">
        <x:v>30</x:v>
      </x:c>
      <x:c r="I3" s="45" t="str">
        <x:v>No</x:v>
      </x:c>
      <x:c r="J3" s="54" t="str">
        <x:v>arrival</x:v>
      </x:c>
      <x:c r="K3" s="54" t="str">
        <x:v>transit</x:v>
      </x:c>
      <x:c r="L3" s="54" t="str">
        <x:v>No</x:v>
      </x:c>
      <x:c r="M3" s="94" t="str">
        <x:v>Plan</x:v>
      </x:c>
      <x:c r="N3" s="94" t="str">
        <x:v>No</x:v>
      </x:c>
      <x:c r="O3" s="54" t="str">
        <x:v>No suma caminata.</x:v>
      </x:c>
      <x:c r="P3" s="8"/>
      <x:c r="Q3" s="8" t="str">
        <x:f>IF(P3="","",P3/'99_Parametros'!$B$2)</x:f>
      </x:c>
      <x:c r="R3" s="42" t="str"/>
      <x:c r="S3" s="42" t="str">
        <x:v>https://www.google.com/maps/dir/?api=1&amp;origin=Jamaica+Station%2C+Queens%2C+NY&amp;destination=Penn+Station%2C+New+York%2C+NY&amp;travelmode=transit</x:v>
      </x:c>
      <x:c r="T3" s="42" t="str">
        <x:v>https://www.google.com/maps/dir/?api=1&amp;origin=Jamaica+Station%2C+Queens%2C+NY&amp;destination=Penn+Station%2C+New+York%2C+NY&amp;travelmode=transit</x:v>
      </x:c>
      <x:c r="U3" s="42" t="str">
        <x:v>Transporte · sin distancia a pie</x:v>
      </x:c>
      <x:c r="V3" s="42" t="str">
        <x:v>Plan</x:v>
      </x:c>
      <x:c r="W3" s="42" t="str">
        <x:v>10/09/2026</x:v>
      </x:c>
    </x:row>
    <x:row r="4">
      <x:c r="A4" s="45" t="str">
        <x:v>Dom 13</x:v>
      </x:c>
      <x:c r="B4" s="45" t="n">
        <x:v>3</x:v>
      </x:c>
      <x:c r="C4" s="45" t="str">
        <x:v>PENN</x:v>
      </x:c>
      <x:c r="D4" s="45" t="str">
        <x:v>STATION_14_8</x:v>
      </x:c>
      <x:c r="E4" s="45" t="str">
        <x:v>Metro E</x:v>
      </x:c>
      <x:c r="F4" s="93"/>
      <x:c r="G4" s="93" t="str">
        <x:f>IF(F4="","",ROUND(F4/'99_Parametros'!$B$2,1))</x:f>
      </x:c>
      <x:c r="H4" s="45" t="n">
        <x:v>10</x:v>
      </x:c>
      <x:c r="I4" s="45" t="str">
        <x:v>No</x:v>
      </x:c>
      <x:c r="J4" s="54" t="str">
        <x:v>arrival</x:v>
      </x:c>
      <x:c r="K4" s="54" t="str">
        <x:v>transit</x:v>
      </x:c>
      <x:c r="L4" s="54" t="str">
        <x:v>No</x:v>
      </x:c>
      <x:c r="M4" s="94" t="str">
        <x:v>Plan</x:v>
      </x:c>
      <x:c r="N4" s="94" t="str">
        <x:v>No</x:v>
      </x:c>
      <x:c r="O4" s="54" t="str">
        <x:v>No suma caminata.</x:v>
      </x:c>
      <x:c r="P4" s="8"/>
      <x:c r="Q4" s="8" t="str">
        <x:f>IF(P4="","",P4/'99_Parametros'!$B$2)</x:f>
      </x:c>
      <x:c r="R4" s="42" t="str"/>
      <x:c r="S4" s="42" t="str">
        <x:v>https://www.google.com/maps/dir/?api=1&amp;origin=Penn+Station%2C+New+York%2C+NY&amp;destination=14+St%E2%80%938+Av+Subway+Station%2C+New+York%2C+NY&amp;travelmode=transit</x:v>
      </x:c>
      <x:c r="T4" s="42" t="str">
        <x:v>https://www.google.com/maps/dir/?api=1&amp;origin=Penn+Station%2C+New+York%2C+NY&amp;destination=14+St%E2%80%938+Av+Subway+Station%2C+New+York%2C+NY&amp;travelmode=transit</x:v>
      </x:c>
      <x:c r="U4" s="42" t="str">
        <x:v>Transporte · sin distancia a pie</x:v>
      </x:c>
      <x:c r="V4" s="42" t="str">
        <x:v>Plan</x:v>
      </x:c>
      <x:c r="W4" s="42" t="str">
        <x:v>10/09/2026</x:v>
      </x:c>
    </x:row>
    <x:row r="5">
      <x:c r="A5" s="45" t="str">
        <x:v>Dom 13</x:v>
      </x:c>
      <x:c r="B5" s="45" t="n">
        <x:v>4</x:v>
      </x:c>
      <x:c r="C5" s="45" t="str">
        <x:v>STATION_14_8</x:v>
      </x:c>
      <x:c r="D5" s="45" t="str">
        <x:v>CHELSEA_BASE</x:v>
      </x:c>
      <x:c r="E5" s="45" t="str">
        <x:v>A pie</x:v>
      </x:c>
      <x:c r="F5" s="93" t="n">
        <x:v>450</x:v>
      </x:c>
      <x:c r="G5" s="93" t="n">
        <x:f>IF(F5="","",ROUND(F5/'99_Parametros'!$B$2,1))</x:f>
        <x:v>4.5</x:v>
      </x:c>
      <x:c r="H5" s="45" t="n">
        <x:v>5</x:v>
      </x:c>
      <x:c r="I5" s="45" t="str">
        <x:v>No</x:v>
      </x:c>
      <x:c r="J5" s="54" t="str">
        <x:v>arrival</x:v>
      </x:c>
      <x:c r="K5" s="54" t="str">
        <x:v>walk</x:v>
      </x:c>
      <x:c r="L5" s="54" t="str">
        <x:v>No</x:v>
      </x:c>
      <x:c r="M5" s="94" t="str">
        <x:v>Histórico / provisional</x:v>
      </x:c>
      <x:c r="N5" s="94" t="str">
        <x:v>Ver URL</x:v>
      </x:c>
      <x:c r="O5" s="54" t="str">
        <x:v>Caminata con equipaje.</x:v>
      </x:c>
      <x:c r="P5" s="8" t="n">
        <x:v>350</x:v>
      </x:c>
      <x:c r="Q5" s="8" t="n">
        <x:f>IF(P5="","",P5/'99_Parametros'!$B$2)</x:f>
        <x:v>3.5</x:v>
      </x:c>
      <x:c r="R5" s="42" t="str">
        <x:v>Salir de 14 St–8 Av y caminar por 8th Ave hacia W18.</x:v>
      </x:c>
      <x:c r="S5" s="42" t="str">
        <x:v>https://www.google.com/maps/dir/?api=1&amp;origin=14+St%E2%80%938+Av+Subway+Station%2C+New+York%2C+NY&amp;destination=8th+Avenue+%26+West+18th+Street%2C+New+York%2C+NY&amp;travelmode=walking</x:v>
      </x:c>
      <x:c r="T5" s="42" t="str">
        <x:v>https://www.google.com/maps/dir/?api=1&amp;origin=14+St%E2%80%938+Av+Subway+Station%2C+New+York%2C+NY&amp;destination=8th+Avenue+%26+West+18th+Street%2C+New+York%2C+NY&amp;travelmode=walking</x:v>
      </x:c>
      <x:c r="U5" s="42" t="str">
        <x:v>Auditado por trazado urbano</x:v>
      </x:c>
      <x:c r="V5" s="42" t="str">
        <x:v>Media</x:v>
      </x:c>
      <x:c r="W5" s="42" t="str">
        <x:v>10/09/2026</x:v>
      </x:c>
    </x:row>
    <x:row r="6">
      <x:c r="A6" s="45" t="str">
        <x:v>Dom 13</x:v>
      </x:c>
      <x:c r="B6" s="45" t="n">
        <x:v>5</x:v>
      </x:c>
      <x:c r="C6" s="45" t="str">
        <x:v>CHELSEA_BASE</x:v>
      </x:c>
      <x:c r="D6" s="45" t="str">
        <x:v>CHELSEA_MARKET</x:v>
      </x:c>
      <x:c r="E6" s="45" t="str">
        <x:v>A pie</x:v>
      </x:c>
      <x:c r="F6" s="93" t="n">
        <x:v>700</x:v>
      </x:c>
      <x:c r="G6" s="93" t="n">
        <x:f>IF(F6="","",ROUND(F6/'99_Parametros'!$B$2,1))</x:f>
        <x:v>7</x:v>
      </x:c>
      <x:c r="H6" s="45" t="n">
        <x:v>7</x:v>
      </x:c>
      <x:c r="I6" s="45" t="str">
        <x:v>No</x:v>
      </x:c>
      <x:c r="J6" s="54" t="str">
        <x:v>sunday_walk</x:v>
      </x:c>
      <x:c r="K6" s="54" t="str">
        <x:v>walk</x:v>
      </x:c>
      <x:c r="L6" s="54" t="str">
        <x:v>No</x:v>
      </x:c>
      <x:c r="M6" s="94" t="str">
        <x:v>Histórico / provisional</x:v>
      </x:c>
      <x:c r="N6" s="94" t="str">
        <x:v>Ver URL</x:v>
      </x:c>
      <x:c r="O6" s="54" t="str"/>
      <x:c r="P6" s="8" t="n">
        <x:v>550</x:v>
      </x:c>
      <x:c r="Q6" s="8" t="n">
        <x:f>IF(P6="","",P6/'99_Parametros'!$B$2)</x:f>
        <x:v>5.5</x:v>
      </x:c>
      <x:c r="R6" s="42" t="str">
        <x:v>W18 oeste → 9th Ave → sur hacia Chelsea Market.</x:v>
      </x:c>
      <x:c r="S6" s="42" t="str">
        <x:v>https://www.google.com/maps/dir/?api=1&amp;origin=8th+Avenue+%26+West+18th+Street%2C+New+York%2C+NY&amp;destination=Chelsea+Market%2C+New+York%2C+NY&amp;travelmode=walking</x:v>
      </x:c>
      <x:c r="T6" s="42" t="str">
        <x:v>https://www.google.com/maps/dir/?api=1&amp;origin=8th+Avenue+%26+West+18th+Street%2C+New+York%2C+NY&amp;destination=Chelsea+Market%2C+New+York%2C+NY&amp;travelmode=walking</x:v>
      </x:c>
      <x:c r="U6" s="42" t="str">
        <x:v>Auditado por trazado urbano</x:v>
      </x:c>
      <x:c r="V6" s="42" t="str">
        <x:v>Media</x:v>
      </x:c>
      <x:c r="W6" s="42" t="str">
        <x:v>10/09/2026</x:v>
      </x:c>
    </x:row>
    <x:row r="7">
      <x:c r="A7" s="45" t="str">
        <x:v>Dom 13</x:v>
      </x:c>
      <x:c r="B7" s="45" t="n">
        <x:v>6</x:v>
      </x:c>
      <x:c r="C7" s="45" t="str">
        <x:v>CHELSEA_MARKET</x:v>
      </x:c>
      <x:c r="D7" s="45" t="str">
        <x:v>HIGHLINE_SOUTH</x:v>
      </x:c>
      <x:c r="E7" s="45" t="str">
        <x:v>A pie</x:v>
      </x:c>
      <x:c r="F7" s="93" t="n">
        <x:v>350</x:v>
      </x:c>
      <x:c r="G7" s="93" t="n">
        <x:f>IF(F7="","",ROUND(F7/'99_Parametros'!$B$2,1))</x:f>
        <x:v>3.5</x:v>
      </x:c>
      <x:c r="H7" s="45" t="n">
        <x:v>4</x:v>
      </x:c>
      <x:c r="I7" s="45" t="str">
        <x:v>No</x:v>
      </x:c>
      <x:c r="J7" s="54" t="str">
        <x:v>sunday_walk</x:v>
      </x:c>
      <x:c r="K7" s="54" t="str">
        <x:v>walk</x:v>
      </x:c>
      <x:c r="L7" s="54" t="str">
        <x:v>No</x:v>
      </x:c>
      <x:c r="M7" s="94" t="str">
        <x:v>Reemplazada por auditoría</x:v>
      </x:c>
      <x:c r="N7" s="94" t="str">
        <x:v>No</x:v>
      </x:c>
      <x:c r="O7" s="54" t="str"/>
      <x:c r="P7" s="8" t="n">
        <x:v>661</x:v>
      </x:c>
      <x:c r="Q7" s="8" t="n">
        <x:f>IF(P7="","",P7/'99_Parametros'!$B$2)</x:f>
        <x:v>6.61</x:v>
      </x:c>
      <x:c r="R7" s="42" t="str">
        <x:v>Chelsea Market → 10th Ave/W16 → subir a High Line; caminar hacia el sur hasta Gansevoort.</x:v>
      </x:c>
      <x:c r="S7" s="42" t="str">
        <x:v>https://www.google.com/maps/dir/?api=1&amp;origin=Chelsea+Market%2C+New+York%2C+NY&amp;destination=High+Line+Gansevoort+Street+entrance%2C+New+York%2C+NY&amp;travelmode=walking</x:v>
      </x:c>
      <x:c r="T7" s="42" t="str">
        <x:v>https://www.rome2rio.com/s/Chelsea-Market/The-High-Line-New-York-NY-10011-USA</x:v>
      </x:c>
      <x:c r="U7" s="42" t="str">
        <x:v>Verificado web + auditado</x:v>
      </x:c>
      <x:c r="V7" s="42" t="str">
        <x:v>Alta</x:v>
      </x:c>
      <x:c r="W7" s="42" t="str">
        <x:v>10/09/2026</x:v>
      </x:c>
    </x:row>
    <x:row r="8">
      <x:c r="A8" s="45" t="str">
        <x:v>Dom 13</x:v>
      </x:c>
      <x:c r="B8" s="45" t="n">
        <x:v>7</x:v>
      </x:c>
      <x:c r="C8" s="45" t="str">
        <x:v>HIGHLINE_SOUTH</x:v>
      </x:c>
      <x:c r="D8" s="45" t="str">
        <x:v>LITTLE_ISLAND</x:v>
      </x:c>
      <x:c r="E8" s="45" t="str">
        <x:v>A pie</x:v>
      </x:c>
      <x:c r="F8" s="93" t="n">
        <x:v>1100</x:v>
      </x:c>
      <x:c r="G8" s="93" t="n">
        <x:f>IF(F8="","",ROUND(F8/'99_Parametros'!$B$2,1))</x:f>
        <x:v>11</x:v>
      </x:c>
      <x:c r="H8" s="45" t="n">
        <x:v>11</x:v>
      </x:c>
      <x:c r="I8" s="45" t="str">
        <x:v>No</x:v>
      </x:c>
      <x:c r="J8" s="54" t="str">
        <x:v>sunday_walk</x:v>
      </x:c>
      <x:c r="K8" s="54" t="str">
        <x:v>walk</x:v>
      </x:c>
      <x:c r="L8" s="54" t="str">
        <x:v>No</x:v>
      </x:c>
      <x:c r="M8" s="94" t="str">
        <x:v>Histórico / provisional</x:v>
      </x:c>
      <x:c r="N8" s="94" t="str">
        <x:v>Ver URL</x:v>
      </x:c>
      <x:c r="O8" s="54" t="str">
        <x:v>Incluye el tramo sur de High Line + conexión.</x:v>
      </x:c>
      <x:c r="P8" s="8" t="n">
        <x:v>600</x:v>
      </x:c>
      <x:c r="Q8" s="8" t="n">
        <x:f>IF(P8="","",P8/'99_Parametros'!$B$2)</x:f>
        <x:v>6</x:v>
      </x:c>
      <x:c r="R8" s="42" t="str">
        <x:v>Salir en Gansevoort → Hudson River Park/West St → acceso de Little Island.</x:v>
      </x:c>
      <x:c r="S8" s="42" t="str">
        <x:v>https://www.google.com/maps/dir/?api=1&amp;origin=High+Line+Gansevoort+Street+entrance%2C+New+York%2C+NY&amp;destination=Little+Island%2C+New+York%2C+NY&amp;travelmode=walking</x:v>
      </x:c>
      <x:c r="T8" s="42" t="str">
        <x:v>https://www.google.com/maps/dir/?api=1&amp;origin=High+Line+Gansevoort+Street+entrance%2C+New+York%2C+NY&amp;destination=Little+Island%2C+New+York%2C+NY&amp;travelmode=walking</x:v>
      </x:c>
      <x:c r="U8" s="42" t="str">
        <x:v>Auditado por trazado urbano</x:v>
      </x:c>
      <x:c r="V8" s="42" t="str">
        <x:v>Media</x:v>
      </x:c>
      <x:c r="W8" s="42" t="str">
        <x:v>10/09/2026</x:v>
      </x:c>
    </x:row>
    <x:row r="9">
      <x:c r="A9" s="45" t="str">
        <x:v>Dom 13</x:v>
      </x:c>
      <x:c r="B9" s="45" t="n">
        <x:v>8</x:v>
      </x:c>
      <x:c r="C9" s="45" t="str">
        <x:v>LITTLE_ISLAND</x:v>
      </x:c>
      <x:c r="D9" s="45" t="str">
        <x:v>CHELSEA_BASE</x:v>
      </x:c>
      <x:c r="E9" s="45" t="str">
        <x:v>A pie</x:v>
      </x:c>
      <x:c r="F9" s="93" t="n">
        <x:v>900</x:v>
      </x:c>
      <x:c r="G9" s="93" t="n">
        <x:f>IF(F9="","",ROUND(F9/'99_Parametros'!$B$2,1))</x:f>
        <x:v>9</x:v>
      </x:c>
      <x:c r="H9" s="45" t="n">
        <x:v>9</x:v>
      </x:c>
      <x:c r="I9" s="45" t="str">
        <x:v>No</x:v>
      </x:c>
      <x:c r="J9" s="54" t="str">
        <x:v>sunday_walk</x:v>
      </x:c>
      <x:c r="K9" s="54" t="str">
        <x:v>walk</x:v>
      </x:c>
      <x:c r="L9" s="54" t="str">
        <x:v>No</x:v>
      </x:c>
      <x:c r="M9" s="94" t="str">
        <x:v>Histórico / provisional</x:v>
      </x:c>
      <x:c r="N9" s="94" t="str">
        <x:v>Ver URL</x:v>
      </x:c>
      <x:c r="O9" s="54" t="str">
        <x:v>Regreso aproximado.</x:v>
      </x:c>
      <x:c r="P9" s="8" t="n">
        <x:v>1100</x:v>
      </x:c>
      <x:c r="Q9" s="8" t="n">
        <x:f>IF(P9="","",P9/'99_Parametros'!$B$2)</x:f>
        <x:v>11</x:v>
      </x:c>
      <x:c r="R9" s="42" t="str">
        <x:v>Little Island → W14/W18 hacia el este → 8th Ave.</x:v>
      </x:c>
      <x:c r="S9" s="42" t="str">
        <x:v>https://www.google.com/maps/dir/?api=1&amp;origin=Little+Island%2C+New+York%2C+NY&amp;destination=8th+Avenue+%26+West+18th+Street%2C+New+York%2C+NY&amp;travelmode=walking</x:v>
      </x:c>
      <x:c r="T9" s="42" t="str">
        <x:v>https://www.google.com/maps/dir/?api=1&amp;origin=Little+Island%2C+New+York%2C+NY&amp;destination=8th+Avenue+%26+West+18th+Street%2C+New+York%2C+NY&amp;travelmode=walking</x:v>
      </x:c>
      <x:c r="U9" s="42" t="str">
        <x:v>Auditado por trazado urbano</x:v>
      </x:c>
      <x:c r="V9" s="42" t="str">
        <x:v>Media</x:v>
      </x:c>
      <x:c r="W9" s="42" t="str">
        <x:v>10/09/2026</x:v>
      </x:c>
    </x:row>
    <x:row r="10">
      <x:c r="A10" s="45" t="str">
        <x:v>Lun 14</x:v>
      </x:c>
      <x:c r="B10" s="45" t="n">
        <x:v>1</x:v>
      </x:c>
      <x:c r="C10" s="45" t="str">
        <x:v>CHELSEA_BASE</x:v>
      </x:c>
      <x:c r="D10" s="45" t="str">
        <x:v>STATION_14_8</x:v>
      </x:c>
      <x:c r="E10" s="45" t="str">
        <x:v>A pie</x:v>
      </x:c>
      <x:c r="F10" s="93" t="n">
        <x:v>450</x:v>
      </x:c>
      <x:c r="G10" s="93" t="n">
        <x:f>IF(F10="","",ROUND(F10/'99_Parametros'!$B$2,1))</x:f>
        <x:v>4.5</x:v>
      </x:c>
      <x:c r="H10" s="45" t="n">
        <x:v>5</x:v>
      </x:c>
      <x:c r="I10" s="45" t="str">
        <x:v>No</x:v>
      </x:c>
      <x:c r="J10" s="54" t="str">
        <x:v>downtown</x:v>
      </x:c>
      <x:c r="K10" s="54" t="str">
        <x:v>walk</x:v>
      </x:c>
      <x:c r="L10" s="54" t="str">
        <x:v>No</x:v>
      </x:c>
      <x:c r="M10" s="94" t="str">
        <x:v>Histórico / provisional</x:v>
      </x:c>
      <x:c r="N10" s="94" t="str">
        <x:v>Ver URL</x:v>
      </x:c>
      <x:c r="O10" s="54" t="str"/>
      <x:c r="P10" s="8" t="n">
        <x:v>350</x:v>
      </x:c>
      <x:c r="Q10" s="8" t="n">
        <x:f>IF(P10="","",P10/'99_Parametros'!$B$2)</x:f>
        <x:v>3.5</x:v>
      </x:c>
      <x:c r="R10" s="42" t="str">
        <x:v>8th Ave sur hasta 14 St–8 Av.</x:v>
      </x:c>
      <x:c r="S10" s="42" t="str">
        <x:v>https://www.google.com/maps/dir/?api=1&amp;origin=8th+Avenue+%26+West+18th+Street%2C+New+York%2C+NY&amp;destination=14+St%E2%80%938+Av+Subway+Station%2C+New+York%2C+NY&amp;travelmode=walking</x:v>
      </x:c>
      <x:c r="T10" s="42" t="str">
        <x:v>https://www.google.com/maps/dir/?api=1&amp;origin=8th+Avenue+%26+West+18th+Street%2C+New+York%2C+NY&amp;destination=14+St%E2%80%938+Av+Subway+Station%2C+New+York%2C+NY&amp;travelmode=walking</x:v>
      </x:c>
      <x:c r="U10" s="42" t="str">
        <x:v>Auditado por trazado urbano</x:v>
      </x:c>
      <x:c r="V10" s="42" t="str">
        <x:v>Media</x:v>
      </x:c>
      <x:c r="W10" s="42" t="str">
        <x:v>10/09/2026</x:v>
      </x:c>
    </x:row>
    <x:row r="11">
      <x:c r="A11" s="45" t="str">
        <x:v>Lun 14</x:v>
      </x:c>
      <x:c r="B11" s="45" t="n">
        <x:v>2</x:v>
      </x:c>
      <x:c r="C11" s="45" t="str">
        <x:v>STATION_14_8</x:v>
      </x:c>
      <x:c r="D11" s="45" t="str">
        <x:v>OCULUS</x:v>
      </x:c>
      <x:c r="E11" s="45" t="str">
        <x:v>Metro E</x:v>
      </x:c>
      <x:c r="F11" s="93"/>
      <x:c r="G11" s="93" t="str">
        <x:f>IF(F11="","",ROUND(F11/'99_Parametros'!$B$2,1))</x:f>
      </x:c>
      <x:c r="H11" s="45" t="n">
        <x:v>25</x:v>
      </x:c>
      <x:c r="I11" s="45" t="str">
        <x:v>No</x:v>
      </x:c>
      <x:c r="J11" s="54" t="str">
        <x:v>downtown</x:v>
      </x:c>
      <x:c r="K11" s="54" t="str">
        <x:v>transit</x:v>
      </x:c>
      <x:c r="L11" s="54" t="str">
        <x:v>No</x:v>
      </x:c>
      <x:c r="M11" s="94" t="str">
        <x:v>Provisional</x:v>
      </x:c>
      <x:c r="N11" s="94" t="str">
        <x:v>No</x:v>
      </x:c>
      <x:c r="O11" s="54" t="str"/>
      <x:c r="P11" s="8"/>
      <x:c r="Q11" s="8" t="str">
        <x:f>IF(P11="","",P11/'99_Parametros'!$B$2)</x:f>
      </x:c>
      <x:c r="R11" s="42" t="str"/>
      <x:c r="S11" s="42" t="str">
        <x:v>https://www.google.com/maps/dir/?api=1&amp;origin=14+St%E2%80%938+Av+Subway+Station%2C+New+York%2C+NY&amp;destination=Oculus+World+Trade+Center%2C+New+York%2C+NY&amp;travelmode=transit</x:v>
      </x:c>
      <x:c r="T11" s="42" t="str">
        <x:v>https://www.google.com/maps/dir/?api=1&amp;origin=14+St%E2%80%938+Av+Subway+Station%2C+New+York%2C+NY&amp;destination=Oculus+World+Trade+Center%2C+New+York%2C+NY&amp;travelmode=transit</x:v>
      </x:c>
      <x:c r="U11" s="42" t="str">
        <x:v>Transporte · sin distancia a pie</x:v>
      </x:c>
      <x:c r="V11" s="42" t="str">
        <x:v>Plan</x:v>
      </x:c>
      <x:c r="W11" s="42" t="str">
        <x:v>10/09/2026</x:v>
      </x:c>
    </x:row>
    <x:row r="12">
      <x:c r="A12" s="45" t="str">
        <x:v>Lun 14</x:v>
      </x:c>
      <x:c r="B12" s="45" t="n">
        <x:v>3</x:v>
      </x:c>
      <x:c r="C12" s="45" t="str">
        <x:v>OCULUS</x:v>
      </x:c>
      <x:c r="D12" s="45" t="str">
        <x:v>MEMORIAL_911</x:v>
      </x:c>
      <x:c r="E12" s="45" t="str">
        <x:v>A pie</x:v>
      </x:c>
      <x:c r="F12" s="93" t="n">
        <x:v>250</x:v>
      </x:c>
      <x:c r="G12" s="93" t="n">
        <x:f>IF(F12="","",ROUND(F12/'99_Parametros'!$B$2,1))</x:f>
        <x:v>2.5</x:v>
      </x:c>
      <x:c r="H12" s="45" t="n">
        <x:v>3</x:v>
      </x:c>
      <x:c r="I12" s="45" t="str">
        <x:v>No</x:v>
      </x:c>
      <x:c r="J12" s="54" t="str">
        <x:v>downtown</x:v>
      </x:c>
      <x:c r="K12" s="54" t="str">
        <x:v>walk</x:v>
      </x:c>
      <x:c r="L12" s="54" t="str">
        <x:v>No</x:v>
      </x:c>
      <x:c r="M12" s="94" t="str">
        <x:v>Histórico / provisional</x:v>
      </x:c>
      <x:c r="N12" s="94" t="str">
        <x:v>Ver URL</x:v>
      </x:c>
      <x:c r="O12" s="54" t="str"/>
      <x:c r="P12" s="8" t="n">
        <x:v>160</x:v>
      </x:c>
      <x:c r="Q12" s="8" t="n">
        <x:f>IF(P12="","",P12/'99_Parametros'!$B$2)</x:f>
        <x:v>1.6</x:v>
      </x:c>
      <x:c r="R12" s="42" t="str">
        <x:v>Oculus → Greenwich/Liberty St → Memorial pools.</x:v>
      </x:c>
      <x:c r="S12" s="42" t="str">
        <x:v>https://www.google.com/maps/dir/?api=1&amp;origin=Oculus+World+Trade+Center%2C+New+York%2C+NY&amp;destination=9%2F11+Memorial%2C+New+York%2C+NY&amp;travelmode=walking</x:v>
      </x:c>
      <x:c r="T12" s="42" t="str">
        <x:v>https://www.google.com/maps/dir/?api=1&amp;origin=Oculus+World+Trade+Center%2C+New+York%2C+NY&amp;destination=9%2F11+Memorial%2C+New+York%2C+NY&amp;travelmode=walking</x:v>
      </x:c>
      <x:c r="U12" s="42" t="str">
        <x:v>Auditado por trazado urbano</x:v>
      </x:c>
      <x:c r="V12" s="42" t="str">
        <x:v>Media</x:v>
      </x:c>
      <x:c r="W12" s="42" t="str">
        <x:v>10/09/2026</x:v>
      </x:c>
    </x:row>
    <x:row r="13">
      <x:c r="A13" s="45" t="str">
        <x:v>Lun 14</x:v>
      </x:c>
      <x:c r="B13" s="45" t="n">
        <x:v>4</x:v>
      </x:c>
      <x:c r="C13" s="45" t="str">
        <x:v>MEMORIAL_911</x:v>
      </x:c>
      <x:c r="D13" s="45" t="str">
        <x:v>TRINITY</x:v>
      </x:c>
      <x:c r="E13" s="45" t="str">
        <x:v>A pie</x:v>
      </x:c>
      <x:c r="F13" s="93" t="n">
        <x:v>600</x:v>
      </x:c>
      <x:c r="G13" s="93" t="n">
        <x:f>IF(F13="","",ROUND(F13/'99_Parametros'!$B$2,1))</x:f>
        <x:v>6</x:v>
      </x:c>
      <x:c r="H13" s="45" t="n">
        <x:v>6</x:v>
      </x:c>
      <x:c r="I13" s="45" t="str">
        <x:v>No</x:v>
      </x:c>
      <x:c r="J13" s="54" t="str">
        <x:v>downtown</x:v>
      </x:c>
      <x:c r="K13" s="54" t="str">
        <x:v>walk</x:v>
      </x:c>
      <x:c r="L13" s="54" t="str">
        <x:v>No</x:v>
      </x:c>
      <x:c r="M13" s="94" t="str">
        <x:v>Reemplazada por auditoría</x:v>
      </x:c>
      <x:c r="N13" s="94" t="str">
        <x:v>No</x:v>
      </x:c>
      <x:c r="O13" s="54" t="str"/>
      <x:c r="P13" s="8" t="n">
        <x:v>527</x:v>
      </x:c>
      <x:c r="Q13" s="8" t="n">
        <x:f>IF(P13="","",P13/'99_Parametros'!$B$2)</x:f>
        <x:v>5.27</x:v>
      </x:c>
      <x:c r="R13" s="42" t="str">
        <x:v>Memorial → Greenwich/Trinity Pl → Rector/Broadway → Trinity Church.</x:v>
      </x:c>
      <x:c r="S13" s="42" t="str">
        <x:v>https://www.google.com/maps/dir/?api=1&amp;origin=9%2F11+Memorial%2C+New+York%2C+NY&amp;destination=Trinity+Church+Wall+Street%2C+New+York%2C+NY&amp;travelmode=walking</x:v>
      </x:c>
      <x:c r="T13" s="42" t="str">
        <x:v>https://www.rome2rio.com/s/National-September-11-Memorial-Museum/Trinity-Church</x:v>
      </x:c>
      <x:c r="U13" s="42" t="str">
        <x:v>Verificado web + auditado</x:v>
      </x:c>
      <x:c r="V13" s="42" t="str">
        <x:v>Alta</x:v>
      </x:c>
      <x:c r="W13" s="42" t="str">
        <x:v>10/09/2026</x:v>
      </x:c>
    </x:row>
    <x:row r="14">
      <x:c r="A14" s="45" t="str">
        <x:v>Lun 14</x:v>
      </x:c>
      <x:c r="B14" s="45" t="n">
        <x:v>5</x:v>
      </x:c>
      <x:c r="C14" s="45" t="str">
        <x:v>TRINITY</x:v>
      </x:c>
      <x:c r="D14" s="45" t="str">
        <x:v>FEDERAL_HALL</x:v>
      </x:c>
      <x:c r="E14" s="45" t="str">
        <x:v>A pie</x:v>
      </x:c>
      <x:c r="F14" s="93" t="n">
        <x:v>500</x:v>
      </x:c>
      <x:c r="G14" s="93" t="n">
        <x:f>IF(F14="","",ROUND(F14/'99_Parametros'!$B$2,1))</x:f>
        <x:v>5</x:v>
      </x:c>
      <x:c r="H14" s="45" t="n">
        <x:v>5</x:v>
      </x:c>
      <x:c r="I14" s="45" t="str">
        <x:v>No</x:v>
      </x:c>
      <x:c r="J14" s="54" t="str">
        <x:v>downtown</x:v>
      </x:c>
      <x:c r="K14" s="54" t="str">
        <x:v>walk</x:v>
      </x:c>
      <x:c r="L14" s="54" t="str">
        <x:v>No</x:v>
      </x:c>
      <x:c r="M14" s="94" t="str">
        <x:v>Histórico / provisional</x:v>
      </x:c>
      <x:c r="N14" s="94" t="str">
        <x:v>Ver URL</x:v>
      </x:c>
      <x:c r="O14" s="54" t="str"/>
      <x:c r="P14" s="8" t="n">
        <x:v>300</x:v>
      </x:c>
      <x:c r="Q14" s="8" t="n">
        <x:f>IF(P14="","",P14/'99_Parametros'!$B$2)</x:f>
        <x:v>3</x:v>
      </x:c>
      <x:c r="R14" s="42" t="str">
        <x:v>Trinity → Wall St hacia el este → Federal Hall.</x:v>
      </x:c>
      <x:c r="S14" s="42" t="str">
        <x:v>https://www.google.com/maps/dir/?api=1&amp;origin=Trinity+Church+Wall+Street%2C+New+York%2C+NY&amp;destination=Federal+Hall+National+Memorial%2C+New+York%2C+NY&amp;travelmode=walking</x:v>
      </x:c>
      <x:c r="T14" s="42" t="str">
        <x:v>https://www.google.com/maps/dir/?api=1&amp;origin=Trinity+Church+Wall+Street%2C+New+York%2C+NY&amp;destination=Federal+Hall+National+Memorial%2C+New+York%2C+NY&amp;travelmode=walking</x:v>
      </x:c>
      <x:c r="U14" s="42" t="str">
        <x:v>Auditado por trazado urbano</x:v>
      </x:c>
      <x:c r="V14" s="42" t="str">
        <x:v>Media-alta</x:v>
      </x:c>
      <x:c r="W14" s="42" t="str">
        <x:v>10/09/2026</x:v>
      </x:c>
    </x:row>
    <x:row r="15">
      <x:c r="A15" s="45" t="str">
        <x:v>Lun 14</x:v>
      </x:c>
      <x:c r="B15" s="45" t="n">
        <x:v>6</x:v>
      </x:c>
      <x:c r="C15" s="45" t="str">
        <x:v>FEDERAL_HALL</x:v>
      </x:c>
      <x:c r="D15" s="45" t="str">
        <x:v>NYSE</x:v>
      </x:c>
      <x:c r="E15" s="45" t="str">
        <x:v>A pie</x:v>
      </x:c>
      <x:c r="F15" s="93" t="n">
        <x:v>120</x:v>
      </x:c>
      <x:c r="G15" s="93" t="n">
        <x:f>IF(F15="","",ROUND(F15/'99_Parametros'!$B$2,1))</x:f>
        <x:v>1.2</x:v>
      </x:c>
      <x:c r="H15" s="45" t="n">
        <x:v>2</x:v>
      </x:c>
      <x:c r="I15" s="45" t="str">
        <x:v>No</x:v>
      </x:c>
      <x:c r="J15" s="54" t="str">
        <x:v>downtown</x:v>
      </x:c>
      <x:c r="K15" s="54" t="str">
        <x:v>walk</x:v>
      </x:c>
      <x:c r="L15" s="54" t="str">
        <x:v>No</x:v>
      </x:c>
      <x:c r="M15" s="94" t="str">
        <x:v>Histórico / provisional</x:v>
      </x:c>
      <x:c r="N15" s="94" t="str">
        <x:v>Ver URL</x:v>
      </x:c>
      <x:c r="O15" s="54" t="str"/>
      <x:c r="P15" s="8" t="n">
        <x:v>120</x:v>
      </x:c>
      <x:c r="Q15" s="8" t="n">
        <x:f>IF(P15="","",P15/'99_Parametros'!$B$2)</x:f>
        <x:v>1.2</x:v>
      </x:c>
      <x:c r="R15" s="42" t="str">
        <x:v>Wall St → Broad St / NYSE.</x:v>
      </x:c>
      <x:c r="S15" s="42" t="str">
        <x:v>https://www.google.com/maps/dir/?api=1&amp;origin=Federal+Hall+National+Memorial%2C+New+York%2C+NY&amp;destination=New+York+Stock+Exchange%2C+New+York%2C+NY&amp;travelmode=walking</x:v>
      </x:c>
      <x:c r="T15" s="42" t="str">
        <x:v>https://www.google.com/maps/dir/?api=1&amp;origin=Federal+Hall+National+Memorial%2C+New+York%2C+NY&amp;destination=New+York+Stock+Exchange%2C+New+York%2C+NY&amp;travelmode=walking</x:v>
      </x:c>
      <x:c r="U15" s="42" t="str">
        <x:v>Auditado por trazado urbano</x:v>
      </x:c>
      <x:c r="V15" s="42" t="str">
        <x:v>Media-alta</x:v>
      </x:c>
      <x:c r="W15" s="42" t="str">
        <x:v>10/09/2026</x:v>
      </x:c>
    </x:row>
    <x:row r="16">
      <x:c r="A16" s="45" t="str">
        <x:v>Lun 14</x:v>
      </x:c>
      <x:c r="B16" s="45" t="n">
        <x:v>7</x:v>
      </x:c>
      <x:c r="C16" s="45" t="str">
        <x:v>NYSE</x:v>
      </x:c>
      <x:c r="D16" s="45" t="str">
        <x:v>FEARLESS</x:v>
      </x:c>
      <x:c r="E16" s="45" t="str">
        <x:v>A pie</x:v>
      </x:c>
      <x:c r="F16" s="93" t="n">
        <x:v>80</x:v>
      </x:c>
      <x:c r="G16" s="93" t="n">
        <x:f>IF(F16="","",ROUND(F16/'99_Parametros'!$B$2,1))</x:f>
        <x:v>0.8</x:v>
      </x:c>
      <x:c r="H16" s="45" t="n">
        <x:v>1</x:v>
      </x:c>
      <x:c r="I16" s="45" t="str">
        <x:v>No</x:v>
      </x:c>
      <x:c r="J16" s="54" t="str">
        <x:v>downtown</x:v>
      </x:c>
      <x:c r="K16" s="54" t="str">
        <x:v>walk</x:v>
      </x:c>
      <x:c r="L16" s="54" t="str">
        <x:v>No</x:v>
      </x:c>
      <x:c r="M16" s="94" t="str">
        <x:v>Histórico / provisional</x:v>
      </x:c>
      <x:c r="N16" s="94" t="str">
        <x:v>Ver URL</x:v>
      </x:c>
      <x:c r="O16" s="54" t="str"/>
      <x:c r="P16" s="8" t="n">
        <x:v>40</x:v>
      </x:c>
      <x:c r="Q16" s="8" t="n">
        <x:f>IF(P16="","",P16/'99_Parametros'!$B$2)</x:f>
        <x:v>0.4</x:v>
      </x:c>
      <x:c r="R16" s="42" t="str">
        <x:v>Cruce corto por Broad St: NYSE → Fearless Girl.</x:v>
      </x:c>
      <x:c r="S16" s="42" t="str">
        <x:v>https://www.google.com/maps/dir/?api=1&amp;origin=New+York+Stock+Exchange%2C+New+York%2C+NY&amp;destination=Fearless+Girl+statue+New+York+Stock+Exchange%2C+New+York%2C+NY&amp;travelmode=walking</x:v>
      </x:c>
      <x:c r="T16" s="42" t="str">
        <x:v>https://www.google.com/maps/dir/?api=1&amp;origin=New+York+Stock+Exchange%2C+New+York%2C+NY&amp;destination=Fearless+Girl+statue+New+York+Stock+Exchange%2C+New+York%2C+NY&amp;travelmode=walking</x:v>
      </x:c>
      <x:c r="U16" s="42" t="str">
        <x:v>Auditado por trazado urbano</x:v>
      </x:c>
      <x:c r="V16" s="42" t="str">
        <x:v>Media-alta</x:v>
      </x:c>
      <x:c r="W16" s="42" t="str">
        <x:v>10/09/2026</x:v>
      </x:c>
    </x:row>
    <x:row r="17">
      <x:c r="A17" s="45" t="str">
        <x:v>Lun 14</x:v>
      </x:c>
      <x:c r="B17" s="45" t="n">
        <x:v>8</x:v>
      </x:c>
      <x:c r="C17" s="45" t="str">
        <x:v>FEARLESS</x:v>
      </x:c>
      <x:c r="D17" s="45" t="str">
        <x:v>CHARGING_BULL</x:v>
      </x:c>
      <x:c r="E17" s="45" t="str">
        <x:v>A pie</x:v>
      </x:c>
      <x:c r="F17" s="93" t="n">
        <x:v>650</x:v>
      </x:c>
      <x:c r="G17" s="93" t="n">
        <x:f>IF(F17="","",ROUND(F17/'99_Parametros'!$B$2,1))</x:f>
        <x:v>6.5</x:v>
      </x:c>
      <x:c r="H17" s="45" t="n">
        <x:v>7</x:v>
      </x:c>
      <x:c r="I17" s="45" t="str">
        <x:v>No</x:v>
      </x:c>
      <x:c r="J17" s="54" t="str">
        <x:v>downtown</x:v>
      </x:c>
      <x:c r="K17" s="54" t="str">
        <x:v>walk</x:v>
      </x:c>
      <x:c r="L17" s="54" t="str">
        <x:v>No</x:v>
      </x:c>
      <x:c r="M17" s="94" t="str">
        <x:v>Histórico / provisional</x:v>
      </x:c>
      <x:c r="N17" s="94" t="str">
        <x:v>Ver URL</x:v>
      </x:c>
      <x:c r="O17" s="54" t="str"/>
      <x:c r="P17" s="8" t="n">
        <x:v>550</x:v>
      </x:c>
      <x:c r="Q17" s="8" t="n">
        <x:f>IF(P17="","",P17/'99_Parametros'!$B$2)</x:f>
        <x:v>5.5</x:v>
      </x:c>
      <x:c r="R17" s="42" t="str">
        <x:v>Broad/Wall → Broadway sur → Bowling Green → Charging Bull.</x:v>
      </x:c>
      <x:c r="S17" s="42" t="str">
        <x:v>https://www.google.com/maps/dir/?api=1&amp;origin=Fearless+Girl+statue+New+York+Stock+Exchange%2C+New+York%2C+NY&amp;destination=Charging+Bull%2C+New+York%2C+NY&amp;travelmode=walking</x:v>
      </x:c>
      <x:c r="T17" s="42" t="str">
        <x:v>https://www.google.com/maps/dir/?api=1&amp;origin=Fearless+Girl+statue+New+York+Stock+Exchange%2C+New+York%2C+NY&amp;destination=Charging+Bull%2C+New+York%2C+NY&amp;travelmode=walking</x:v>
      </x:c>
      <x:c r="U17" s="42" t="str">
        <x:v>Auditado por trazado urbano</x:v>
      </x:c>
      <x:c r="V17" s="42" t="str">
        <x:v>Media-alta</x:v>
      </x:c>
      <x:c r="W17" s="42" t="str">
        <x:v>10/09/2026</x:v>
      </x:c>
    </x:row>
    <x:row r="18">
      <x:c r="A18" s="45" t="str">
        <x:v>Lun 14</x:v>
      </x:c>
      <x:c r="B18" s="45" t="n">
        <x:v>9</x:v>
      </x:c>
      <x:c r="C18" s="45" t="str">
        <x:v>CHARGING_BULL</x:v>
      </x:c>
      <x:c r="D18" s="45" t="str">
        <x:v>BATTERY</x:v>
      </x:c>
      <x:c r="E18" s="45" t="str">
        <x:v>A pie</x:v>
      </x:c>
      <x:c r="F18" s="93" t="n">
        <x:v>400</x:v>
      </x:c>
      <x:c r="G18" s="93" t="n">
        <x:f>IF(F18="","",ROUND(F18/'99_Parametros'!$B$2,1))</x:f>
        <x:v>4</x:v>
      </x:c>
      <x:c r="H18" s="45" t="n">
        <x:v>4</x:v>
      </x:c>
      <x:c r="I18" s="45" t="str">
        <x:v>No</x:v>
      </x:c>
      <x:c r="J18" s="54" t="str">
        <x:v>downtown</x:v>
      </x:c>
      <x:c r="K18" s="54" t="str">
        <x:v>walk</x:v>
      </x:c>
      <x:c r="L18" s="54" t="str">
        <x:v>No</x:v>
      </x:c>
      <x:c r="M18" s="94" t="str">
        <x:v>Histórico / provisional</x:v>
      </x:c>
      <x:c r="N18" s="94" t="str">
        <x:v>Ver URL</x:v>
      </x:c>
      <x:c r="O18" s="54" t="str"/>
      <x:c r="P18" s="8" t="n">
        <x:v>300</x:v>
      </x:c>
      <x:c r="Q18" s="8" t="n">
        <x:f>IF(P18="","",P18/'99_Parametros'!$B$2)</x:f>
        <x:v>3</x:v>
      </x:c>
      <x:c r="R18" s="42" t="str">
        <x:v>Bowling Green → State St → entrar a The Battery.</x:v>
      </x:c>
      <x:c r="S18" s="42" t="str">
        <x:v>https://www.google.com/maps/dir/?api=1&amp;origin=Charging+Bull%2C+New+York%2C+NY&amp;destination=The+Battery%2C+New+York%2C+NY&amp;travelmode=walking</x:v>
      </x:c>
      <x:c r="T18" s="42" t="str">
        <x:v>https://www.google.com/maps/dir/?api=1&amp;origin=Charging+Bull%2C+New+York%2C+NY&amp;destination=The+Battery%2C+New+York%2C+NY&amp;travelmode=walking</x:v>
      </x:c>
      <x:c r="U18" s="42" t="str">
        <x:v>Auditado por trazado urbano</x:v>
      </x:c>
      <x:c r="V18" s="42" t="str">
        <x:v>Media-alta</x:v>
      </x:c>
      <x:c r="W18" s="42" t="str">
        <x:v>10/09/2026</x:v>
      </x:c>
    </x:row>
    <x:row r="19">
      <x:c r="A19" s="45" t="str">
        <x:v>Lun 14</x:v>
      </x:c>
      <x:c r="B19" s="45" t="n">
        <x:v>10</x:v>
      </x:c>
      <x:c r="C19" s="45" t="str">
        <x:v>BATTERY</x:v>
      </x:c>
      <x:c r="D19" s="45" t="str">
        <x:v>WHITEHALL</x:v>
      </x:c>
      <x:c r="E19" s="45" t="str">
        <x:v>A pie</x:v>
      </x:c>
      <x:c r="F19" s="93" t="n">
        <x:v>600</x:v>
      </x:c>
      <x:c r="G19" s="93" t="n">
        <x:f>IF(F19="","",ROUND(F19/'99_Parametros'!$B$2,1))</x:f>
        <x:v>6</x:v>
      </x:c>
      <x:c r="H19" s="45" t="n">
        <x:v>6</x:v>
      </x:c>
      <x:c r="I19" s="45" t="str">
        <x:v>No</x:v>
      </x:c>
      <x:c r="J19" s="54" t="str">
        <x:v>downtown</x:v>
      </x:c>
      <x:c r="K19" s="54" t="str">
        <x:v>walk</x:v>
      </x:c>
      <x:c r="L19" s="54" t="str">
        <x:v>No</x:v>
      </x:c>
      <x:c r="M19" s="94" t="str">
        <x:v>Reemplazada por auditoría</x:v>
      </x:c>
      <x:c r="N19" s="94" t="str">
        <x:v>No</x:v>
      </x:c>
      <x:c r="O19" s="54" t="str"/>
      <x:c r="P19" s="8" t="n">
        <x:v>466</x:v>
      </x:c>
      <x:c r="Q19" s="8" t="n">
        <x:f>IF(P19="","",P19/'99_Parametros'!$B$2)</x:f>
        <x:v>4.66</x:v>
      </x:c>
      <x:c r="R19" s="42" t="str">
        <x:v>Atravesar The Battery hacia South Ferry/Whitehall Terminal.</x:v>
      </x:c>
      <x:c r="S19" s="42" t="str">
        <x:v>https://www.google.com/maps/dir/?api=1&amp;origin=The+Battery%2C+New+York%2C+NY&amp;destination=Whitehall+Ferry+Terminal%2C+New+York%2C+NY&amp;travelmode=walking</x:v>
      </x:c>
      <x:c r="T19" s="42" t="str">
        <x:v>https://www.rome2rio.com/es/s/Battery-Park/Staten-Island-Ferry-Whitehall-Terminal</x:v>
      </x:c>
      <x:c r="U19" s="42" t="str">
        <x:v>Verificado web + auditado</x:v>
      </x:c>
      <x:c r="V19" s="42" t="str">
        <x:v>Alta</x:v>
      </x:c>
      <x:c r="W19" s="42" t="str">
        <x:v>10/09/2026</x:v>
      </x:c>
    </x:row>
    <x:row r="20">
      <x:c r="A20" s="45" t="str">
        <x:v>Lun 14</x:v>
      </x:c>
      <x:c r="B20" s="45" t="n">
        <x:v>11</x:v>
      </x:c>
      <x:c r="C20" s="45" t="str">
        <x:v>WHITEHALL</x:v>
      </x:c>
      <x:c r="D20" s="45" t="str">
        <x:v>ST_GEORGE</x:v>
      </x:c>
      <x:c r="E20" s="45" t="str">
        <x:v>Ferry</x:v>
      </x:c>
      <x:c r="F20" s="93"/>
      <x:c r="G20" s="93" t="str">
        <x:f>IF(F20="","",ROUND(F20/'99_Parametros'!$B$2,1))</x:f>
      </x:c>
      <x:c r="H20" s="45" t="n">
        <x:v>25</x:v>
      </x:c>
      <x:c r="I20" s="45" t="str">
        <x:v>No</x:v>
      </x:c>
      <x:c r="J20" s="54" t="str">
        <x:v>ferry</x:v>
      </x:c>
      <x:c r="K20" s="54" t="str">
        <x:v>transit</x:v>
      </x:c>
      <x:c r="L20" s="54" t="str">
        <x:v>No</x:v>
      </x:c>
      <x:c r="M20" s="94" t="str">
        <x:v>Provisional</x:v>
      </x:c>
      <x:c r="N20" s="94" t="str">
        <x:v>No</x:v>
      </x:c>
      <x:c r="O20" s="54" t="str">
        <x:v>Trayecto de ida.</x:v>
      </x:c>
      <x:c r="P20" s="8"/>
      <x:c r="Q20" s="8" t="str">
        <x:f>IF(P20="","",P20/'99_Parametros'!$B$2)</x:f>
      </x:c>
      <x:c r="R20" s="42" t="str"/>
      <x:c r="S20" s="42" t="str">
        <x:v>https://www.google.com/maps/dir/?api=1&amp;origin=Whitehall+Ferry+Terminal%2C+New+York%2C+NY&amp;destination=St.+George+Ferry+Terminal%2C+Staten+Island%2C+NY&amp;travelmode=transit</x:v>
      </x:c>
      <x:c r="T20" s="42" t="str">
        <x:v>https://www.google.com/maps/dir/?api=1&amp;origin=Whitehall+Ferry+Terminal%2C+New+York%2C+NY&amp;destination=St.+George+Ferry+Terminal%2C+Staten+Island%2C+NY&amp;travelmode=transit</x:v>
      </x:c>
      <x:c r="U20" s="42" t="str">
        <x:v>Transporte · sin distancia a pie</x:v>
      </x:c>
      <x:c r="V20" s="42" t="str">
        <x:v>Plan</x:v>
      </x:c>
      <x:c r="W20" s="42" t="str">
        <x:v>10/09/2026</x:v>
      </x:c>
    </x:row>
    <x:row r="21">
      <x:c r="A21" s="45" t="str">
        <x:v>Lun 14</x:v>
      </x:c>
      <x:c r="B21" s="45" t="n">
        <x:v>12</x:v>
      </x:c>
      <x:c r="C21" s="45" t="str">
        <x:v>ST_GEORGE</x:v>
      </x:c>
      <x:c r="D21" s="45" t="str">
        <x:v>WHITEHALL</x:v>
      </x:c>
      <x:c r="E21" s="45" t="str">
        <x:v>Ferry</x:v>
      </x:c>
      <x:c r="F21" s="93"/>
      <x:c r="G21" s="93" t="str">
        <x:f>IF(F21="","",ROUND(F21/'99_Parametros'!$B$2,1))</x:f>
      </x:c>
      <x:c r="H21" s="45" t="n">
        <x:v>25</x:v>
      </x:c>
      <x:c r="I21" s="45" t="str">
        <x:v>No</x:v>
      </x:c>
      <x:c r="J21" s="54" t="str">
        <x:v>ferry</x:v>
      </x:c>
      <x:c r="K21" s="54" t="str">
        <x:v>transit</x:v>
      </x:c>
      <x:c r="L21" s="54" t="str">
        <x:v>No</x:v>
      </x:c>
      <x:c r="M21" s="94" t="str">
        <x:v>Provisional</x:v>
      </x:c>
      <x:c r="N21" s="94" t="str">
        <x:v>No</x:v>
      </x:c>
      <x:c r="O21" s="54" t="str">
        <x:v>Regreso.</x:v>
      </x:c>
      <x:c r="P21" s="8"/>
      <x:c r="Q21" s="8" t="str">
        <x:f>IF(P21="","",P21/'99_Parametros'!$B$2)</x:f>
      </x:c>
      <x:c r="R21" s="42" t="str"/>
      <x:c r="S21" s="42" t="str">
        <x:v>https://www.google.com/maps/dir/?api=1&amp;origin=St.+George+Ferry+Terminal%2C+Staten+Island%2C+NY&amp;destination=Whitehall+Ferry+Terminal%2C+New+York%2C+NY&amp;travelmode=transit</x:v>
      </x:c>
      <x:c r="T21" s="42" t="str">
        <x:v>https://www.google.com/maps/dir/?api=1&amp;origin=St.+George+Ferry+Terminal%2C+Staten+Island%2C+NY&amp;destination=Whitehall+Ferry+Terminal%2C+New+York%2C+NY&amp;travelmode=transit</x:v>
      </x:c>
      <x:c r="U21" s="42" t="str">
        <x:v>Transporte · sin distancia a pie</x:v>
      </x:c>
      <x:c r="V21" s="42" t="str">
        <x:v>Plan</x:v>
      </x:c>
      <x:c r="W21" s="42" t="str">
        <x:v>10/09/2026</x:v>
      </x:c>
    </x:row>
    <x:row r="22">
      <x:c r="A22" s="45" t="str">
        <x:v>Lun 14</x:v>
      </x:c>
      <x:c r="B22" s="45" t="n">
        <x:v>13</x:v>
      </x:c>
      <x:c r="C22" s="45" t="str">
        <x:v>WHITEHALL</x:v>
      </x:c>
      <x:c r="D22" s="45" t="str">
        <x:v>PIER17</x:v>
      </x:c>
      <x:c r="E22" s="45" t="str">
        <x:v>A pie</x:v>
      </x:c>
      <x:c r="F22" s="93" t="n">
        <x:v>1500</x:v>
      </x:c>
      <x:c r="G22" s="93" t="n">
        <x:f>IF(F22="","",ROUND(F22/'99_Parametros'!$B$2,1))</x:f>
        <x:v>15</x:v>
      </x:c>
      <x:c r="H22" s="45" t="n">
        <x:v>15</x:v>
      </x:c>
      <x:c r="I22" s="45" t="str">
        <x:v>Sí</x:v>
      </x:c>
      <x:c r="J22" s="54" t="str">
        <x:v>seaport</x:v>
      </x:c>
      <x:c r="K22" s="54" t="str">
        <x:v>walk</x:v>
      </x:c>
      <x:c r="L22" s="54" t="str">
        <x:v>No</x:v>
      </x:c>
      <x:c r="M22" s="94" t="str">
        <x:v>Histórico / provisional</x:v>
      </x:c>
      <x:c r="N22" s="94" t="str">
        <x:v>Ver URL</x:v>
      </x:c>
      <x:c r="O22" s="54" t="str">
        <x:v>Opcional: primer recorte del lunes.</x:v>
      </x:c>
      <x:c r="P22" s="8" t="n">
        <x:v>1200</x:v>
      </x:c>
      <x:c r="Q22" s="8" t="n">
        <x:f>IF(P22="","",P22/'99_Parametros'!$B$2)</x:f>
        <x:v>12</x:v>
      </x:c>
      <x:c r="R22" s="42" t="str">
        <x:v>Whitehall → South St norte por el waterfront → Pier 17.</x:v>
      </x:c>
      <x:c r="S22" s="42" t="str">
        <x:v>https://www.google.com/maps/dir/?api=1&amp;origin=Whitehall+Ferry+Terminal%2C+New+York%2C+NY&amp;destination=Pier+17%2C+New+York%2C+NY&amp;travelmode=walking</x:v>
      </x:c>
      <x:c r="T22" s="42" t="str">
        <x:v>https://www.google.com/maps/dir/?api=1&amp;origin=Whitehall+Ferry+Terminal%2C+New+York%2C+NY&amp;destination=Pier+17%2C+New+York%2C+NY&amp;travelmode=walking</x:v>
      </x:c>
      <x:c r="U22" s="42" t="str">
        <x:v>Auditado por trazado urbano</x:v>
      </x:c>
      <x:c r="V22" s="42" t="str">
        <x:v>Media</x:v>
      </x:c>
      <x:c r="W22" s="42" t="str">
        <x:v>10/09/2026</x:v>
      </x:c>
    </x:row>
    <x:row r="23">
      <x:c r="A23" s="45" t="str">
        <x:v>Lun 14</x:v>
      </x:c>
      <x:c r="B23" s="45" t="n">
        <x:v>14</x:v>
      </x:c>
      <x:c r="C23" s="45" t="str">
        <x:v>PIER17</x:v>
      </x:c>
      <x:c r="D23" s="45" t="str">
        <x:v>CHELSEA_BASE</x:v>
      </x:c>
      <x:c r="E23" s="45" t="str">
        <x:v>Metro + a pie</x:v>
      </x:c>
      <x:c r="F23" s="93" t="n">
        <x:v>700</x:v>
      </x:c>
      <x:c r="G23" s="93" t="n">
        <x:f>IF(F23="","",ROUND(F23/'99_Parametros'!$B$2,1))</x:f>
        <x:v>7</x:v>
      </x:c>
      <x:c r="H23" s="45" t="n">
        <x:v>7</x:v>
      </x:c>
      <x:c r="I23" s="45" t="str">
        <x:v>Sí</x:v>
      </x:c>
      <x:c r="J23" s="54" t="str">
        <x:v>return</x:v>
      </x:c>
      <x:c r="K23" s="54" t="str">
        <x:v>mixed</x:v>
      </x:c>
      <x:c r="L23" s="54" t="str">
        <x:v>No</x:v>
      </x:c>
      <x:c r="M23" s="94" t="str">
        <x:v>Histórico / provisional</x:v>
      </x:c>
      <x:c r="N23" s="94" t="str">
        <x:v>Ver URL</x:v>
      </x:c>
      <x:c r="O23" s="54" t="str">
        <x:v>Distancia a pie aproximada hasta/desde estaciones; metro no representado como caminata.</x:v>
      </x:c>
      <x:c r="P23" s="8" t="n">
        <x:v>600</x:v>
      </x:c>
      <x:c r="Q23" s="8" t="n">
        <x:f>IF(P23="","",P23/'99_Parametros'!$B$2)</x:f>
        <x:v>6</x:v>
      </x:c>
      <x:c r="R23" s="42" t="str">
        <x:v>Pier 17 → estación cercana → metro hacia Chelsea → caminar al depto.</x:v>
      </x:c>
      <x:c r="S23" s="42" t="str">
        <x:v>https://www.google.com/maps/dir/?api=1&amp;origin=Pier+17%2C+New+York%2C+NY&amp;destination=8th+Avenue+%26+West+18th+Street%2C+New+York%2C+NY&amp;travelmode=transit</x:v>
      </x:c>
      <x:c r="T23" s="42" t="str">
        <x:v>https://www.google.com/maps/dir/?api=1&amp;origin=Pier+17%2C+New+York%2C+NY&amp;destination=8th+Avenue+%26+West+18th+Street%2C+New+York%2C+NY&amp;travelmode=transit</x:v>
      </x:c>
      <x:c r="U23" s="42" t="str">
        <x:v>Auditado por trazado urbano</x:v>
      </x:c>
      <x:c r="V23" s="42" t="str">
        <x:v>Media</x:v>
      </x:c>
      <x:c r="W23" s="42" t="str">
        <x:v>10/09/2026</x:v>
      </x:c>
    </x:row>
    <x:row r="24">
      <x:c r="A24" s="45" t="str">
        <x:v>Mar 15</x:v>
      </x:c>
      <x:c r="B24" s="45" t="n">
        <x:v>1</x:v>
      </x:c>
      <x:c r="C24" s="45" t="str">
        <x:v>CHELSEA_BASE</x:v>
      </x:c>
      <x:c r="D24" s="45" t="str">
        <x:v>STATION_14_8</x:v>
      </x:c>
      <x:c r="E24" s="45" t="str">
        <x:v>A pie</x:v>
      </x:c>
      <x:c r="F24" s="93" t="n">
        <x:v>450</x:v>
      </x:c>
      <x:c r="G24" s="93" t="n">
        <x:f>IF(F24="","",ROUND(F24/'99_Parametros'!$B$2,1))</x:f>
        <x:v>4.5</x:v>
      </x:c>
      <x:c r="H24" s="45" t="n">
        <x:v>5</x:v>
      </x:c>
      <x:c r="I24" s="45" t="str">
        <x:v>No</x:v>
      </x:c>
      <x:c r="J24" s="54" t="str">
        <x:v>central_midtown</x:v>
      </x:c>
      <x:c r="K24" s="54" t="str">
        <x:v>walk</x:v>
      </x:c>
      <x:c r="L24" s="54" t="str">
        <x:v>No</x:v>
      </x:c>
      <x:c r="M24" s="94" t="str">
        <x:v>Histórico / provisional</x:v>
      </x:c>
      <x:c r="N24" s="94" t="str">
        <x:v>Ver URL</x:v>
      </x:c>
      <x:c r="O24" s="54" t="str"/>
      <x:c r="P24" s="8" t="n">
        <x:v>350</x:v>
      </x:c>
      <x:c r="Q24" s="8" t="n">
        <x:f>IF(P24="","",P24/'99_Parametros'!$B$2)</x:f>
        <x:v>3.5</x:v>
      </x:c>
      <x:c r="R24" s="42" t="str">
        <x:v>8th Ave sur hasta 14 St–8 Av.</x:v>
      </x:c>
      <x:c r="S24" s="42" t="str">
        <x:v>https://www.google.com/maps/dir/?api=1&amp;origin=8th+Avenue+%26+West+18th+Street%2C+New+York%2C+NY&amp;destination=14+St%E2%80%938+Av+Subway+Station%2C+New+York%2C+NY&amp;travelmode=walking</x:v>
      </x:c>
      <x:c r="T24" s="42" t="str">
        <x:v>https://www.google.com/maps/dir/?api=1&amp;origin=8th+Avenue+%26+West+18th+Street%2C+New+York%2C+NY&amp;destination=14+St%E2%80%938+Av+Subway+Station%2C+New+York%2C+NY&amp;travelmode=walking</x:v>
      </x:c>
      <x:c r="U24" s="42" t="str">
        <x:v>Auditado por trazado urbano</x:v>
      </x:c>
      <x:c r="V24" s="42" t="str">
        <x:v>Media</x:v>
      </x:c>
      <x:c r="W24" s="42" t="str">
        <x:v>10/09/2026</x:v>
      </x:c>
    </x:row>
    <x:row r="25">
      <x:c r="A25" s="45" t="str">
        <x:v>Mar 15</x:v>
      </x:c>
      <x:c r="B25" s="45" t="n">
        <x:v>2</x:v>
      </x:c>
      <x:c r="C25" s="45" t="str">
        <x:v>STATION_14_8</x:v>
      </x:c>
      <x:c r="D25" s="45" t="str">
        <x:v>COLUMBUS</x:v>
      </x:c>
      <x:c r="E25" s="45" t="str">
        <x:v>Metro</x:v>
      </x:c>
      <x:c r="F25" s="93"/>
      <x:c r="G25" s="93" t="str">
        <x:f>IF(F25="","",ROUND(F25/'99_Parametros'!$B$2,1))</x:f>
      </x:c>
      <x:c r="H25" s="45" t="n">
        <x:v>20</x:v>
      </x:c>
      <x:c r="I25" s="45" t="str">
        <x:v>No</x:v>
      </x:c>
      <x:c r="J25" s="54" t="str">
        <x:v>central_midtown</x:v>
      </x:c>
      <x:c r="K25" s="54" t="str">
        <x:v>transit</x:v>
      </x:c>
      <x:c r="L25" s="54" t="str">
        <x:v>No</x:v>
      </x:c>
      <x:c r="M25" s="94" t="str">
        <x:v>Provisional</x:v>
      </x:c>
      <x:c r="N25" s="94" t="str">
        <x:v>No</x:v>
      </x:c>
      <x:c r="O25" s="54" t="str"/>
      <x:c r="P25" s="8"/>
      <x:c r="Q25" s="8" t="str">
        <x:f>IF(P25="","",P25/'99_Parametros'!$B$2)</x:f>
      </x:c>
      <x:c r="R25" s="42" t="str"/>
      <x:c r="S25" s="42" t="str">
        <x:v>https://www.google.com/maps/dir/?api=1&amp;origin=14+St%E2%80%938+Av+Subway+Station%2C+New+York%2C+NY&amp;destination=Columbus+Circle%2C+New+York%2C+NY&amp;travelmode=transit</x:v>
      </x:c>
      <x:c r="T25" s="42" t="str">
        <x:v>https://www.google.com/maps/dir/?api=1&amp;origin=14+St%E2%80%938+Av+Subway+Station%2C+New+York%2C+NY&amp;destination=Columbus+Circle%2C+New+York%2C+NY&amp;travelmode=transit</x:v>
      </x:c>
      <x:c r="U25" s="42" t="str">
        <x:v>Transporte · sin distancia a pie</x:v>
      </x:c>
      <x:c r="V25" s="42" t="str">
        <x:v>Plan</x:v>
      </x:c>
      <x:c r="W25" s="42" t="str">
        <x:v>10/09/2026</x:v>
      </x:c>
    </x:row>
    <x:row r="26">
      <x:c r="A26" s="45" t="str">
        <x:v>Mar 15</x:v>
      </x:c>
      <x:c r="B26" s="45" t="n">
        <x:v>3</x:v>
      </x:c>
      <x:c r="C26" s="45" t="str">
        <x:v>COLUMBUS</x:v>
      </x:c>
      <x:c r="D26" s="45" t="str">
        <x:v>SHEEP_MEADOW</x:v>
      </x:c>
      <x:c r="E26" s="45" t="str">
        <x:v>A pie</x:v>
      </x:c>
      <x:c r="F26" s="93" t="n">
        <x:v>700</x:v>
      </x:c>
      <x:c r="G26" s="93" t="n">
        <x:f>IF(F26="","",ROUND(F26/'99_Parametros'!$B$2,1))</x:f>
        <x:v>7</x:v>
      </x:c>
      <x:c r="H26" s="45" t="n">
        <x:v>7</x:v>
      </x:c>
      <x:c r="I26" s="45" t="str">
        <x:v>No</x:v>
      </x:c>
      <x:c r="J26" s="54" t="str">
        <x:v>central_park</x:v>
      </x:c>
      <x:c r="K26" s="54" t="str">
        <x:v>walk</x:v>
      </x:c>
      <x:c r="L26" s="54" t="str">
        <x:v>No</x:v>
      </x:c>
      <x:c r="M26" s="94" t="str">
        <x:v>Histórico / provisional</x:v>
      </x:c>
      <x:c r="N26" s="94" t="str">
        <x:v>Ver URL</x:v>
      </x:c>
      <x:c r="O26" s="54" t="str"/>
      <x:c r="P26" s="8" t="n">
        <x:v>700</x:v>
      </x:c>
      <x:c r="Q26" s="8" t="n">
        <x:f>IF(P26="","",P26/'99_Parametros'!$B$2)</x:f>
        <x:v>7</x:v>
      </x:c>
      <x:c r="R26" s="42" t="str">
        <x:v>Columbus Circle → entrar al parque → senderos hacia Sheep Meadow.</x:v>
      </x:c>
      <x:c r="S26" s="42" t="str">
        <x:v>https://www.google.com/maps/dir/?api=1&amp;origin=Columbus+Circle%2C+New+York%2C+NY&amp;destination=Sheep+Meadow%2C+Central+Park%2C+New+York%2C+NY&amp;travelmode=walking</x:v>
      </x:c>
      <x:c r="T26" s="42" t="str">
        <x:v>https://www.google.com/maps/dir/?api=1&amp;origin=Columbus+Circle%2C+New+York%2C+NY&amp;destination=Sheep+Meadow%2C+Central+Park%2C+New+York%2C+NY&amp;travelmode=walking</x:v>
      </x:c>
      <x:c r="U26" s="42" t="str">
        <x:v>Auditado por trazado urbano</x:v>
      </x:c>
      <x:c r="V26" s="42" t="str">
        <x:v>Media</x:v>
      </x:c>
      <x:c r="W26" s="42" t="str">
        <x:v>10/09/2026</x:v>
      </x:c>
    </x:row>
    <x:row r="27">
      <x:c r="A27" s="45" t="str">
        <x:v>Mar 15</x:v>
      </x:c>
      <x:c r="B27" s="45" t="n">
        <x:v>4</x:v>
      </x:c>
      <x:c r="C27" s="45" t="str">
        <x:v>SHEEP_MEADOW</x:v>
      </x:c>
      <x:c r="D27" s="45" t="str">
        <x:v>THE_MALL</x:v>
      </x:c>
      <x:c r="E27" s="45" t="str">
        <x:v>A pie</x:v>
      </x:c>
      <x:c r="F27" s="93" t="n">
        <x:v>900</x:v>
      </x:c>
      <x:c r="G27" s="93" t="n">
        <x:f>IF(F27="","",ROUND(F27/'99_Parametros'!$B$2,1))</x:f>
        <x:v>9</x:v>
      </x:c>
      <x:c r="H27" s="45" t="n">
        <x:v>9</x:v>
      </x:c>
      <x:c r="I27" s="45" t="str">
        <x:v>No</x:v>
      </x:c>
      <x:c r="J27" s="54" t="str">
        <x:v>central_park</x:v>
      </x:c>
      <x:c r="K27" s="54" t="str">
        <x:v>walk</x:v>
      </x:c>
      <x:c r="L27" s="54" t="str">
        <x:v>No</x:v>
      </x:c>
      <x:c r="M27" s="94" t="str">
        <x:v>Histórico / provisional</x:v>
      </x:c>
      <x:c r="N27" s="94" t="str">
        <x:v>Ver URL</x:v>
      </x:c>
      <x:c r="O27" s="54" t="str"/>
      <x:c r="P27" s="8" t="n">
        <x:v>650</x:v>
      </x:c>
      <x:c r="Q27" s="8" t="n">
        <x:f>IF(P27="","",P27/'99_Parametros'!$B$2)</x:f>
        <x:v>6.5</x:v>
      </x:c>
      <x:c r="R27" s="42" t="str">
        <x:v>Sheep Meadow → senderos internos hacia The Mall/Literary Walk.</x:v>
      </x:c>
      <x:c r="S27" s="42" t="str">
        <x:v>https://www.google.com/maps/dir/?api=1&amp;origin=Sheep+Meadow%2C+Central+Park%2C+New+York%2C+NY&amp;destination=The+Mall+and+Literary+Walk%2C+Central+Park%2C+New+York%2C+NY&amp;travelmode=walking</x:v>
      </x:c>
      <x:c r="T27" s="42" t="str">
        <x:v>https://www.google.com/maps/dir/?api=1&amp;origin=Sheep+Meadow%2C+Central+Park%2C+New+York%2C+NY&amp;destination=The+Mall+and+Literary+Walk%2C+Central+Park%2C+New+York%2C+NY&amp;travelmode=walking</x:v>
      </x:c>
      <x:c r="U27" s="42" t="str">
        <x:v>Auditado por trazado urbano</x:v>
      </x:c>
      <x:c r="V27" s="42" t="str">
        <x:v>Media</x:v>
      </x:c>
      <x:c r="W27" s="42" t="str">
        <x:v>10/09/2026</x:v>
      </x:c>
    </x:row>
    <x:row r="28">
      <x:c r="A28" s="45" t="str">
        <x:v>Mar 15</x:v>
      </x:c>
      <x:c r="B28" s="45" t="n">
        <x:v>5</x:v>
      </x:c>
      <x:c r="C28" s="45" t="str">
        <x:v>THE_MALL</x:v>
      </x:c>
      <x:c r="D28" s="45" t="str">
        <x:v>BETHESDA</x:v>
      </x:c>
      <x:c r="E28" s="45" t="str">
        <x:v>A pie</x:v>
      </x:c>
      <x:c r="F28" s="93" t="n">
        <x:v>550</x:v>
      </x:c>
      <x:c r="G28" s="93" t="n">
        <x:f>IF(F28="","",ROUND(F28/'99_Parametros'!$B$2,1))</x:f>
        <x:v>5.5</x:v>
      </x:c>
      <x:c r="H28" s="45" t="n">
        <x:v>6</x:v>
      </x:c>
      <x:c r="I28" s="45" t="str">
        <x:v>No</x:v>
      </x:c>
      <x:c r="J28" s="54" t="str">
        <x:v>central_park</x:v>
      </x:c>
      <x:c r="K28" s="54" t="str">
        <x:v>walk</x:v>
      </x:c>
      <x:c r="L28" s="54" t="str">
        <x:v>No</x:v>
      </x:c>
      <x:c r="M28" s="94" t="str">
        <x:v>Histórico / provisional</x:v>
      </x:c>
      <x:c r="N28" s="94" t="str">
        <x:v>Ver URL</x:v>
      </x:c>
      <x:c r="O28" s="54" t="str"/>
      <x:c r="P28" s="8" t="n">
        <x:v>450</x:v>
      </x:c>
      <x:c r="Q28" s="8" t="n">
        <x:f>IF(P28="","",P28/'99_Parametros'!$B$2)</x:f>
        <x:v>4.5</x:v>
      </x:c>
      <x:c r="R28" s="42" t="str">
        <x:v>The Mall norte → Bethesda Terrace.</x:v>
      </x:c>
      <x:c r="S28" s="42" t="str">
        <x:v>https://www.google.com/maps/dir/?api=1&amp;origin=The+Mall+and+Literary+Walk%2C+Central+Park%2C+New+York%2C+NY&amp;destination=Bethesda+Terrace%2C+Central+Park%2C+New+York%2C+NY&amp;travelmode=walking</x:v>
      </x:c>
      <x:c r="T28" s="42" t="str">
        <x:v>https://www.google.com/maps/dir/?api=1&amp;origin=The+Mall+and+Literary+Walk%2C+Central+Park%2C+New+York%2C+NY&amp;destination=Bethesda+Terrace%2C+Central+Park%2C+New+York%2C+NY&amp;travelmode=walking</x:v>
      </x:c>
      <x:c r="U28" s="42" t="str">
        <x:v>Auditado por trazado urbano</x:v>
      </x:c>
      <x:c r="V28" s="42" t="str">
        <x:v>Media</x:v>
      </x:c>
      <x:c r="W28" s="42" t="str">
        <x:v>10/09/2026</x:v>
      </x:c>
    </x:row>
    <x:row r="29">
      <x:c r="A29" s="45" t="str">
        <x:v>Mar 15</x:v>
      </x:c>
      <x:c r="B29" s="45" t="n">
        <x:v>6</x:v>
      </x:c>
      <x:c r="C29" s="45" t="str">
        <x:v>BETHESDA</x:v>
      </x:c>
      <x:c r="D29" s="45" t="str">
        <x:v>BOW_BRIDGE</x:v>
      </x:c>
      <x:c r="E29" s="45" t="str">
        <x:v>A pie</x:v>
      </x:c>
      <x:c r="F29" s="93" t="n">
        <x:v>450</x:v>
      </x:c>
      <x:c r="G29" s="93" t="n">
        <x:f>IF(F29="","",ROUND(F29/'99_Parametros'!$B$2,1))</x:f>
        <x:v>4.5</x:v>
      </x:c>
      <x:c r="H29" s="45" t="n">
        <x:v>5</x:v>
      </x:c>
      <x:c r="I29" s="45" t="str">
        <x:v>No</x:v>
      </x:c>
      <x:c r="J29" s="54" t="str">
        <x:v>central_park</x:v>
      </x:c>
      <x:c r="K29" s="54" t="str">
        <x:v>walk</x:v>
      </x:c>
      <x:c r="L29" s="54" t="str">
        <x:v>No</x:v>
      </x:c>
      <x:c r="M29" s="94" t="str">
        <x:v>Reemplazada por auditoría</x:v>
      </x:c>
      <x:c r="N29" s="94" t="str">
        <x:v>No</x:v>
      </x:c>
      <x:c r="O29" s="54" t="str"/>
      <x:c r="P29" s="8" t="n">
        <x:v>149</x:v>
      </x:c>
      <x:c r="Q29" s="8" t="n">
        <x:f>IF(P29="","",P29/'99_Parametros'!$B$2)</x:f>
        <x:v>1.49</x:v>
      </x:c>
      <x:c r="R29" s="42" t="str">
        <x:v>Bethesda Terrace → sendero oeste junto al Lake → Bow Bridge.</x:v>
      </x:c>
      <x:c r="S29" s="42" t="str">
        <x:v>https://www.google.com/maps/dir/?api=1&amp;origin=Bethesda+Terrace%2C+Central+Park%2C+New+York%2C+NY&amp;destination=Bow+Bridge%2C+Central+Park%2C+New+York%2C+NY&amp;travelmode=walking</x:v>
      </x:c>
      <x:c r="T29" s="42" t="str">
        <x:v>https://www.google.com/maps/search/Walk%2BCentral%2BPark%2B%28Bethesda%2BTerrace%2C%2BBow%2BBridge%29%2C%2BNew%2BYork%2BCity%2C%2BUSA</x:v>
      </x:c>
      <x:c r="U29" s="42" t="str">
        <x:v>Verificado web + auditado</x:v>
      </x:c>
      <x:c r="V29" s="42" t="str">
        <x:v>Alta</x:v>
      </x:c>
      <x:c r="W29" s="42" t="str">
        <x:v>10/09/2026</x:v>
      </x:c>
    </x:row>
    <x:row r="30">
      <x:c r="A30" s="45" t="str">
        <x:v>Mar 15</x:v>
      </x:c>
      <x:c r="B30" s="45" t="n">
        <x:v>7</x:v>
      </x:c>
      <x:c r="C30" s="45" t="str">
        <x:v>BOW_BRIDGE</x:v>
      </x:c>
      <x:c r="D30" s="45" t="str">
        <x:v>CONSERVATORY_WATER</x:v>
      </x:c>
      <x:c r="E30" s="45" t="str">
        <x:v>A pie</x:v>
      </x:c>
      <x:c r="F30" s="93" t="n">
        <x:v>1000</x:v>
      </x:c>
      <x:c r="G30" s="93" t="n">
        <x:f>IF(F30="","",ROUND(F30/'99_Parametros'!$B$2,1))</x:f>
        <x:v>10</x:v>
      </x:c>
      <x:c r="H30" s="45" t="n">
        <x:v>10</x:v>
      </x:c>
      <x:c r="I30" s="45" t="str">
        <x:v>No</x:v>
      </x:c>
      <x:c r="J30" s="54" t="str">
        <x:v>central_park</x:v>
      </x:c>
      <x:c r="K30" s="54" t="str">
        <x:v>walk</x:v>
      </x:c>
      <x:c r="L30" s="54" t="str">
        <x:v>No</x:v>
      </x:c>
      <x:c r="M30" s="94" t="str">
        <x:v>Histórico / provisional</x:v>
      </x:c>
      <x:c r="N30" s="94" t="str">
        <x:v>Ver URL</x:v>
      </x:c>
      <x:c r="O30" s="54" t="str"/>
      <x:c r="P30" s="8" t="n">
        <x:v>800</x:v>
      </x:c>
      <x:c r="Q30" s="8" t="n">
        <x:f>IF(P30="","",P30/'99_Parametros'!$B$2)</x:f>
        <x:v>8</x:v>
      </x:c>
      <x:c r="R30" s="42" t="str">
        <x:v>Bow Bridge → senderos hacia el este, cruzando el parque → Conservatory Water.</x:v>
      </x:c>
      <x:c r="S30" s="42" t="str">
        <x:v>https://www.google.com/maps/dir/?api=1&amp;origin=Bow+Bridge%2C+Central+Park%2C+New+York%2C+NY&amp;destination=Conservatory+Water%2C+Central+Park%2C+New+York%2C+NY&amp;travelmode=walking</x:v>
      </x:c>
      <x:c r="T30" s="42" t="str">
        <x:v>https://www.google.com/maps/dir/?api=1&amp;origin=Bow+Bridge%2C+Central+Park%2C+New+York%2C+NY&amp;destination=Conservatory+Water%2C+Central+Park%2C+New+York%2C+NY&amp;travelmode=walking</x:v>
      </x:c>
      <x:c r="U30" s="42" t="str">
        <x:v>Auditado por trazado urbano</x:v>
      </x:c>
      <x:c r="V30" s="42" t="str">
        <x:v>Media</x:v>
      </x:c>
      <x:c r="W30" s="42" t="str">
        <x:v>10/09/2026</x:v>
      </x:c>
    </x:row>
    <x:row r="31">
      <x:c r="A31" s="45" t="str">
        <x:v>Mar 15</x:v>
      </x:c>
      <x:c r="B31" s="45" t="n">
        <x:v>8</x:v>
      </x:c>
      <x:c r="C31" s="45" t="str">
        <x:v>CONSERVATORY_WATER</x:v>
      </x:c>
      <x:c r="D31" s="45" t="str">
        <x:v>THE_MET</x:v>
      </x:c>
      <x:c r="E31" s="45" t="str">
        <x:v>A pie</x:v>
      </x:c>
      <x:c r="F31" s="93" t="n">
        <x:v>700</x:v>
      </x:c>
      <x:c r="G31" s="93" t="n">
        <x:f>IF(F31="","",ROUND(F31/'99_Parametros'!$B$2,1))</x:f>
        <x:v>7</x:v>
      </x:c>
      <x:c r="H31" s="45" t="n">
        <x:v>7</x:v>
      </x:c>
      <x:c r="I31" s="45" t="str">
        <x:v>No</x:v>
      </x:c>
      <x:c r="J31" s="54" t="str">
        <x:v>central_park</x:v>
      </x:c>
      <x:c r="K31" s="54" t="str">
        <x:v>walk</x:v>
      </x:c>
      <x:c r="L31" s="54" t="str">
        <x:v>No</x:v>
      </x:c>
      <x:c r="M31" s="94" t="str">
        <x:v>Histórico / provisional</x:v>
      </x:c>
      <x:c r="N31" s="94" t="str">
        <x:v>Ver URL</x:v>
      </x:c>
      <x:c r="O31" s="54" t="str"/>
      <x:c r="P31" s="8" t="n">
        <x:v>765</x:v>
      </x:c>
      <x:c r="Q31" s="8" t="n">
        <x:f>IF(P31="","",P31/'99_Parametros'!$B$2)</x:f>
        <x:v>7.65</x:v>
      </x:c>
      <x:c r="R31" s="42" t="str">
        <x:v>Conservatory Water → senderos/5th Ave hacia The Met.</x:v>
      </x:c>
      <x:c r="S31" s="42" t="str">
        <x:v>https://www.google.com/maps/dir/?api=1&amp;origin=Conservatory+Water%2C+Central+Park%2C+New+York%2C+NY&amp;destination=The+Metropolitan+Museum+of+Art%2C+1000+5th+Ave%2C+New+York%2C+NY&amp;travelmode=walking</x:v>
      </x:c>
      <x:c r="T31" s="42" t="str">
        <x:v>https://www.google.com/maps/dir/?api=1&amp;origin=Conservatory+Water%2C+Central+Park%2C+New+York%2C+NY&amp;destination=The+Metropolitan+Museum+of+Art%2C+1000+5th+Ave%2C+New+York%2C+NY&amp;travelmode=walking</x:v>
      </x:c>
      <x:c r="U31" s="42" t="str">
        <x:v>Auditado por trazado urbano</x:v>
      </x:c>
      <x:c r="V31" s="42" t="str">
        <x:v>Media</x:v>
      </x:c>
      <x:c r="W31" s="42" t="str">
        <x:v>10/09/2026</x:v>
      </x:c>
    </x:row>
    <x:row r="32">
      <x:c r="A32" s="45" t="str">
        <x:v>Mar 15</x:v>
      </x:c>
      <x:c r="B32" s="45" t="n">
        <x:v>9</x:v>
      </x:c>
      <x:c r="C32" s="45" t="str">
        <x:v>THE_MET</x:v>
      </x:c>
      <x:c r="D32" s="45" t="str">
        <x:v>THE_PLAZA</x:v>
      </x:c>
      <x:c r="E32" s="45" t="str">
        <x:v>Bus</x:v>
      </x:c>
      <x:c r="F32" s="93"/>
      <x:c r="G32" s="93" t="str">
        <x:f>IF(F32="","",ROUND(F32/'99_Parametros'!$B$2,1))</x:f>
      </x:c>
      <x:c r="H32" s="45" t="n">
        <x:v>25</x:v>
      </x:c>
      <x:c r="I32" s="45" t="str">
        <x:v>No</x:v>
      </x:c>
      <x:c r="J32" s="54" t="str">
        <x:v>midtown_transfer</x:v>
      </x:c>
      <x:c r="K32" s="54" t="str">
        <x:v>transit</x:v>
      </x:c>
      <x:c r="L32" s="54" t="str">
        <x:v>No</x:v>
      </x:c>
      <x:c r="M32" s="94" t="str">
        <x:v>Provisional</x:v>
      </x:c>
      <x:c r="N32" s="94" t="str">
        <x:v>No</x:v>
      </x:c>
      <x:c r="O32" s="54" t="str">
        <x:v>Hacer en bus; no sumar como caminata.</x:v>
      </x:c>
      <x:c r="P32" s="8"/>
      <x:c r="Q32" s="8" t="str">
        <x:f>IF(P32="","",P32/'99_Parametros'!$B$2)</x:f>
      </x:c>
      <x:c r="R32" s="42" t="str"/>
      <x:c r="S32" s="42" t="str">
        <x:v>https://www.google.com/maps/dir/?api=1&amp;origin=The+Metropolitan+Museum+of+Art%2C+1000+5th+Ave%2C+New+York%2C+NY&amp;destination=The+Plaza+Hotel%2C+New+York%2C+NY&amp;travelmode=transit</x:v>
      </x:c>
      <x:c r="T32" s="42" t="str">
        <x:v>https://www.google.com/maps/dir/?api=1&amp;origin=The+Metropolitan+Museum+of+Art%2C+1000+5th+Ave%2C+New+York%2C+NY&amp;destination=The+Plaza+Hotel%2C+New+York%2C+NY&amp;travelmode=transit</x:v>
      </x:c>
      <x:c r="U32" s="42" t="str">
        <x:v>Transporte · sin distancia a pie</x:v>
      </x:c>
      <x:c r="V32" s="42" t="str">
        <x:v>Plan</x:v>
      </x:c>
      <x:c r="W32" s="42" t="str">
        <x:v>10/09/2026</x:v>
      </x:c>
    </x:row>
    <x:row r="33">
      <x:c r="A33" s="45" t="str">
        <x:v>Mar 15</x:v>
      </x:c>
      <x:c r="B33" s="45" t="n">
        <x:v>10</x:v>
      </x:c>
      <x:c r="C33" s="45" t="str">
        <x:v>THE_PLAZA</x:v>
      </x:c>
      <x:c r="D33" s="45" t="str">
        <x:v>ROOSEVELT_TRAM_MH</x:v>
      </x:c>
      <x:c r="E33" s="45" t="str">
        <x:v>A pie</x:v>
      </x:c>
      <x:c r="F33" s="93" t="n">
        <x:v>1000</x:v>
      </x:c>
      <x:c r="G33" s="93" t="n">
        <x:f>IF(F33="","",ROUND(F33/'99_Parametros'!$B$2,1))</x:f>
        <x:v>10</x:v>
      </x:c>
      <x:c r="H33" s="45" t="n">
        <x:v>10</x:v>
      </x:c>
      <x:c r="I33" s="45" t="str">
        <x:v>No</x:v>
      </x:c>
      <x:c r="J33" s="54" t="str">
        <x:v>tram_detour</x:v>
      </x:c>
      <x:c r="K33" s="54" t="str">
        <x:v>walk</x:v>
      </x:c>
      <x:c r="L33" s="54" t="str">
        <x:v>Sí</x:v>
      </x:c>
      <x:c r="M33" s="94" t="str">
        <x:v>Histórico / provisional</x:v>
      </x:c>
      <x:c r="N33" s="94" t="str">
        <x:v>Ver URL</x:v>
      </x:c>
      <x:c r="O33" s="54" t="str">
        <x:v>Desvío este hacia 2nd Ave.</x:v>
      </x:c>
      <x:c r="P33" s="8" t="n">
        <x:v>850</x:v>
      </x:c>
      <x:c r="Q33" s="8" t="n">
        <x:f>IF(P33="","",P33/'99_Parametros'!$B$2)</x:f>
        <x:v>8.5</x:v>
      </x:c>
      <x:c r="R33" s="42" t="str">
        <x:v>The Plaza / 59th &amp; 5th → E59th St hacia el este → 2nd Ave / Tram.</x:v>
      </x:c>
      <x:c r="S33" s="42" t="str">
        <x:v>https://www.google.com/maps/dir/?api=1&amp;origin=The+Plaza+Hotel%2C+New+York%2C+NY&amp;destination=Roosevelt+Island+Tramway+Manhattan+Station%2C+New+York%2C+NY&amp;travelmode=walking</x:v>
      </x:c>
      <x:c r="T33" s="42" t="str">
        <x:v>https://www.google.com/maps/dir/?api=1&amp;origin=The+Plaza+Hotel%2C+New+York%2C+NY&amp;destination=Roosevelt+Island+Tramway+Manhattan+Station%2C+New+York%2C+NY&amp;travelmode=walking</x:v>
      </x:c>
      <x:c r="U33" s="42" t="str">
        <x:v>Auditado por trazado urbano</x:v>
      </x:c>
      <x:c r="V33" s="42" t="str">
        <x:v>Media</x:v>
      </x:c>
      <x:c r="W33" s="42" t="str">
        <x:v>10/09/2026</x:v>
      </x:c>
    </x:row>
    <x:row r="34">
      <x:c r="A34" s="45" t="str">
        <x:v>Mar 15</x:v>
      </x:c>
      <x:c r="B34" s="45" t="n">
        <x:v>11</x:v>
      </x:c>
      <x:c r="C34" s="45" t="str">
        <x:v>ROOSEVELT_TRAM_MH</x:v>
      </x:c>
      <x:c r="D34" s="45" t="str">
        <x:v>ROOSEVELT_TRAM_RI</x:v>
      </x:c>
      <x:c r="E34" s="45" t="str">
        <x:v>Tram</x:v>
      </x:c>
      <x:c r="F34" s="93"/>
      <x:c r="G34" s="93" t="str">
        <x:f>IF(F34="","",ROUND(F34/'99_Parametros'!$B$2,1))</x:f>
      </x:c>
      <x:c r="H34" s="45" t="n">
        <x:v>5</x:v>
      </x:c>
      <x:c r="I34" s="45" t="str">
        <x:v>No</x:v>
      </x:c>
      <x:c r="J34" s="54" t="str">
        <x:v>tram_detour</x:v>
      </x:c>
      <x:c r="K34" s="54" t="str">
        <x:v>transit</x:v>
      </x:c>
      <x:c r="L34" s="54" t="str">
        <x:v>Sí</x:v>
      </x:c>
      <x:c r="M34" s="94" t="str">
        <x:v>Plan</x:v>
      </x:c>
      <x:c r="N34" s="94" t="str">
        <x:v>No</x:v>
      </x:c>
      <x:c r="O34" s="54" t="str">
        <x:v>Trayecto aéreo; tiempo de espera se absorbe en la actividad.</x:v>
      </x:c>
      <x:c r="P34" s="8"/>
      <x:c r="Q34" s="8" t="str">
        <x:f>IF(P34="","",P34/'99_Parametros'!$B$2)</x:f>
      </x:c>
      <x:c r="R34" s="42" t="str"/>
      <x:c r="S34" s="42" t="str">
        <x:v>https://www.google.com/maps/dir/?api=1&amp;origin=Roosevelt+Island+Tramway+Manhattan+Station%2C+New+York%2C+NY&amp;destination=Roosevelt+Island+Tramway+Roosevelt+Island+Station%2C+New+York%2C+NY&amp;travelmode=transit</x:v>
      </x:c>
      <x:c r="T34" s="42" t="str">
        <x:v>https://www.google.com/maps/dir/?api=1&amp;origin=Roosevelt+Island+Tramway+Manhattan+Station%2C+New+York%2C+NY&amp;destination=Roosevelt+Island+Tramway+Roosevelt+Island+Station%2C+New+York%2C+NY&amp;travelmode=transit</x:v>
      </x:c>
      <x:c r="U34" s="42" t="str">
        <x:v>Transporte · sin distancia a pie</x:v>
      </x:c>
      <x:c r="V34" s="42" t="str">
        <x:v>Plan</x:v>
      </x:c>
      <x:c r="W34" s="42" t="str">
        <x:v>10/09/2026</x:v>
      </x:c>
    </x:row>
    <x:row r="35">
      <x:c r="A35" s="45" t="str">
        <x:v>Mar 15</x:v>
      </x:c>
      <x:c r="B35" s="45" t="n">
        <x:v>12</x:v>
      </x:c>
      <x:c r="C35" s="45" t="str">
        <x:v>ROOSEVELT_TRAM_RI</x:v>
      </x:c>
      <x:c r="D35" s="45" t="str">
        <x:v>ROOSEVELT_TRAM_RI</x:v>
      </x:c>
      <x:c r="E35" s="45" t="str">
        <x:v>Paseo a pie</x:v>
      </x:c>
      <x:c r="F35" s="93" t="n">
        <x:v>500</x:v>
      </x:c>
      <x:c r="G35" s="93" t="n">
        <x:f>IF(F35="","",ROUND(F35/'99_Parametros'!$B$2,1))</x:f>
        <x:v>5</x:v>
      </x:c>
      <x:c r="H35" s="45" t="n">
        <x:v>5</x:v>
      </x:c>
      <x:c r="I35" s="45" t="str">
        <x:v>No</x:v>
      </x:c>
      <x:c r="J35" s="54" t="str">
        <x:v>tram_detour</x:v>
      </x:c>
      <x:c r="K35" s="54" t="str">
        <x:v>walk</x:v>
      </x:c>
      <x:c r="L35" s="54" t="str">
        <x:v>Sí</x:v>
      </x:c>
      <x:c r="M35" s="94" t="str">
        <x:v>Histórico / provisional</x:v>
      </x:c>
      <x:c r="N35" s="94" t="str">
        <x:v>Ver URL</x:v>
      </x:c>
      <x:c r="O35" s="54" t="str">
        <x:v>Mini paseo en la isla; se puede omitir.</x:v>
      </x:c>
      <x:c r="P35" s="8" t="n">
        <x:v>500</x:v>
      </x:c>
      <x:c r="Q35" s="8" t="n">
        <x:f>IF(P35="","",P35/'99_Parametros'!$B$2)</x:f>
        <x:v>5</x:v>
      </x:c>
      <x:c r="R35" s="42" t="str">
        <x:v>Mini paseo: estación RI → East River Esplanade/viewpoint cercano → volver a la estación. Waypoint para mapa: Roosevelt Island East River Esplanade, New York, NY.</x:v>
      </x:c>
      <x:c r="S35" s="42" t="str">
        <x:v>https://www.google.com/maps/dir/?api=1&amp;origin=Roosevelt+Island+Tramway+Roosevelt+Island+Station%2C+New+York%2C+NY&amp;destination=Roosevelt+Island+Tramway+Roosevelt+Island+Station%2C+New+York%2C+NY&amp;travelmode=walking&amp;waypoints=Roosevelt+Island+East+River+Esplanade%2C+New+York%2C+NY</x:v>
      </x:c>
      <x:c r="T35" s="42" t="str">
        <x:v>https://www.google.com/maps/dir/?api=1&amp;origin=Roosevelt+Island+Tramway+Roosevelt+Island+Station%2C+New+York%2C+NY&amp;destination=Roosevelt+Island+Tramway+Roosevelt+Island+Station%2C+New+York%2C+NY&amp;travelmode=walking&amp;waypoints=Roosevelt+Island+East+River+Esplanade%2C+New+York%2C+NY</x:v>
      </x:c>
      <x:c r="U35" s="42" t="str">
        <x:v>Auditado por trazado urbano</x:v>
      </x:c>
      <x:c r="V35" s="42" t="str">
        <x:v>Media</x:v>
      </x:c>
      <x:c r="W35" s="42" t="str">
        <x:v>10/09/2026</x:v>
      </x:c>
    </x:row>
    <x:row r="36">
      <x:c r="A36" s="45" t="str">
        <x:v>Mar 15</x:v>
      </x:c>
      <x:c r="B36" s="45" t="n">
        <x:v>13</x:v>
      </x:c>
      <x:c r="C36" s="45" t="str">
        <x:v>ROOSEVELT_TRAM_RI</x:v>
      </x:c>
      <x:c r="D36" s="45" t="str">
        <x:v>ROOSEVELT_TRAM_MH</x:v>
      </x:c>
      <x:c r="E36" s="45" t="str">
        <x:v>Tram</x:v>
      </x:c>
      <x:c r="F36" s="93"/>
      <x:c r="G36" s="93" t="str">
        <x:f>IF(F36="","",ROUND(F36/'99_Parametros'!$B$2,1))</x:f>
      </x:c>
      <x:c r="H36" s="45" t="n">
        <x:v>5</x:v>
      </x:c>
      <x:c r="I36" s="45" t="str">
        <x:v>No</x:v>
      </x:c>
      <x:c r="J36" s="54" t="str">
        <x:v>tram_detour</x:v>
      </x:c>
      <x:c r="K36" s="54" t="str">
        <x:v>transit</x:v>
      </x:c>
      <x:c r="L36" s="54" t="str">
        <x:v>Sí</x:v>
      </x:c>
      <x:c r="M36" s="94" t="str">
        <x:v>Plan</x:v>
      </x:c>
      <x:c r="N36" s="94" t="str">
        <x:v>No</x:v>
      </x:c>
      <x:c r="O36" s="54" t="str">
        <x:v>Regreso.</x:v>
      </x:c>
      <x:c r="P36" s="8"/>
      <x:c r="Q36" s="8" t="str">
        <x:f>IF(P36="","",P36/'99_Parametros'!$B$2)</x:f>
      </x:c>
      <x:c r="R36" s="42" t="str"/>
      <x:c r="S36" s="42" t="str">
        <x:v>https://www.google.com/maps/dir/?api=1&amp;origin=Roosevelt+Island+Tramway+Roosevelt+Island+Station%2C+New+York%2C+NY&amp;destination=Roosevelt+Island+Tramway+Manhattan+Station%2C+New+York%2C+NY&amp;travelmode=transit</x:v>
      </x:c>
      <x:c r="T36" s="42" t="str">
        <x:v>https://www.google.com/maps/dir/?api=1&amp;origin=Roosevelt+Island+Tramway+Roosevelt+Island+Station%2C+New+York%2C+NY&amp;destination=Roosevelt+Island+Tramway+Manhattan+Station%2C+New+York%2C+NY&amp;travelmode=transit</x:v>
      </x:c>
      <x:c r="U36" s="42" t="str">
        <x:v>Transporte · sin distancia a pie</x:v>
      </x:c>
      <x:c r="V36" s="42" t="str">
        <x:v>Plan</x:v>
      </x:c>
      <x:c r="W36" s="42" t="str">
        <x:v>10/09/2026</x:v>
      </x:c>
    </x:row>
    <x:row r="37">
      <x:c r="A37" s="45" t="str">
        <x:v>Mar 15</x:v>
      </x:c>
      <x:c r="B37" s="45" t="n">
        <x:v>14</x:v>
      </x:c>
      <x:c r="C37" s="45" t="str">
        <x:v>ROOSEVELT_TRAM_MH</x:v>
      </x:c>
      <x:c r="D37" s="45" t="str">
        <x:v>THE_PLAZA</x:v>
      </x:c>
      <x:c r="E37" s="45" t="str">
        <x:v>A pie</x:v>
      </x:c>
      <x:c r="F37" s="93" t="n">
        <x:v>1000</x:v>
      </x:c>
      <x:c r="G37" s="93" t="n">
        <x:f>IF(F37="","",ROUND(F37/'99_Parametros'!$B$2,1))</x:f>
        <x:v>10</x:v>
      </x:c>
      <x:c r="H37" s="45" t="n">
        <x:v>10</x:v>
      </x:c>
      <x:c r="I37" s="45" t="str">
        <x:v>No</x:v>
      </x:c>
      <x:c r="J37" s="54" t="str">
        <x:v>tram_detour</x:v>
      </x:c>
      <x:c r="K37" s="54" t="str">
        <x:v>walk</x:v>
      </x:c>
      <x:c r="L37" s="54" t="str">
        <x:v>Sí</x:v>
      </x:c>
      <x:c r="M37" s="94" t="str">
        <x:v>Histórico / provisional</x:v>
      </x:c>
      <x:c r="N37" s="94" t="str">
        <x:v>Ver URL</x:v>
      </x:c>
      <x:c r="O37" s="54" t="str">
        <x:v>Regreso a Fifth.</x:v>
      </x:c>
      <x:c r="P37" s="8" t="n">
        <x:v>850</x:v>
      </x:c>
      <x:c r="Q37" s="8" t="n">
        <x:f>IF(P37="","",P37/'99_Parametros'!$B$2)</x:f>
        <x:v>8.5</x:v>
      </x:c>
      <x:c r="R37" s="42" t="str">
        <x:v>2nd Ave/E59th → E59th hacia el oeste → The Plaza.</x:v>
      </x:c>
      <x:c r="S37" s="42" t="str">
        <x:v>https://www.google.com/maps/dir/?api=1&amp;origin=Roosevelt+Island+Tramway+Manhattan+Station%2C+New+York%2C+NY&amp;destination=The+Plaza+Hotel%2C+New+York%2C+NY&amp;travelmode=walking</x:v>
      </x:c>
      <x:c r="T37" s="42" t="str">
        <x:v>https://www.google.com/maps/dir/?api=1&amp;origin=Roosevelt+Island+Tramway+Manhattan+Station%2C+New+York%2C+NY&amp;destination=The+Plaza+Hotel%2C+New+York%2C+NY&amp;travelmode=walking</x:v>
      </x:c>
      <x:c r="U37" s="42" t="str">
        <x:v>Auditado por trazado urbano</x:v>
      </x:c>
      <x:c r="V37" s="42" t="str">
        <x:v>Media</x:v>
      </x:c>
      <x:c r="W37" s="42" t="str">
        <x:v>10/09/2026</x:v>
      </x:c>
    </x:row>
    <x:row r="38">
      <x:c r="A38" s="45" t="str">
        <x:v>Mar 15</x:v>
      </x:c>
      <x:c r="B38" s="45" t="n">
        <x:v>15</x:v>
      </x:c>
      <x:c r="C38" s="45" t="str">
        <x:v>THE_PLAZA</x:v>
      </x:c>
      <x:c r="D38" s="45" t="str">
        <x:v>PALEY_PARK</x:v>
      </x:c>
      <x:c r="E38" s="45" t="str">
        <x:v>A pie</x:v>
      </x:c>
      <x:c r="F38" s="93" t="n">
        <x:v>650</x:v>
      </x:c>
      <x:c r="G38" s="93" t="n">
        <x:f>IF(F38="","",ROUND(F38/'99_Parametros'!$B$2,1))</x:f>
        <x:v>6.5</x:v>
      </x:c>
      <x:c r="H38" s="45" t="n">
        <x:v>7</x:v>
      </x:c>
      <x:c r="I38" s="45" t="str">
        <x:v>No</x:v>
      </x:c>
      <x:c r="J38" s="54" t="str">
        <x:v>fifth_ave</x:v>
      </x:c>
      <x:c r="K38" s="54" t="str">
        <x:v>walk</x:v>
      </x:c>
      <x:c r="L38" s="54" t="str">
        <x:v>Sí</x:v>
      </x:c>
      <x:c r="M38" s="94" t="str">
        <x:v>Histórico / provisional</x:v>
      </x:c>
      <x:c r="N38" s="94" t="str">
        <x:v>Ver URL</x:v>
      </x:c>
      <x:c r="O38" s="54" t="str"/>
      <x:c r="P38" s="8" t="n">
        <x:v>500</x:v>
      </x:c>
      <x:c r="Q38" s="8" t="n">
        <x:f>IF(P38="","",P38/'99_Parametros'!$B$2)</x:f>
        <x:v>5</x:v>
      </x:c>
      <x:c r="R38" s="42" t="str">
        <x:v>5th Ave sur desde 59th → E53rd → Paley Park.</x:v>
      </x:c>
      <x:c r="S38" s="42" t="str">
        <x:v>https://www.google.com/maps/dir/?api=1&amp;origin=The+Plaza+Hotel%2C+New+York%2C+NY&amp;destination=Paley+Park%2C+New+York%2C+NY&amp;travelmode=walking</x:v>
      </x:c>
      <x:c r="T38" s="42" t="str">
        <x:v>https://www.google.com/maps/dir/?api=1&amp;origin=The+Plaza+Hotel%2C+New+York%2C+NY&amp;destination=Paley+Park%2C+New+York%2C+NY&amp;travelmode=walking</x:v>
      </x:c>
      <x:c r="U38" s="42" t="str">
        <x:v>Auditado por trazado urbano</x:v>
      </x:c>
      <x:c r="V38" s="42" t="str">
        <x:v>Media</x:v>
      </x:c>
      <x:c r="W38" s="42" t="str">
        <x:v>10/09/2026</x:v>
      </x:c>
    </x:row>
    <x:row r="39">
      <x:c r="A39" s="45" t="str">
        <x:v>Mar 15</x:v>
      </x:c>
      <x:c r="B39" s="45" t="n">
        <x:v>16</x:v>
      </x:c>
      <x:c r="C39" s="45" t="str">
        <x:v>PALEY_PARK</x:v>
      </x:c>
      <x:c r="D39" s="45" t="str">
        <x:v>ST_PATRICK</x:v>
      </x:c>
      <x:c r="E39" s="45" t="str">
        <x:v>A pie</x:v>
      </x:c>
      <x:c r="F39" s="93" t="n">
        <x:v>450</x:v>
      </x:c>
      <x:c r="G39" s="93" t="n">
        <x:f>IF(F39="","",ROUND(F39/'99_Parametros'!$B$2,1))</x:f>
        <x:v>4.5</x:v>
      </x:c>
      <x:c r="H39" s="45" t="n">
        <x:v>5</x:v>
      </x:c>
      <x:c r="I39" s="45" t="str">
        <x:v>No</x:v>
      </x:c>
      <x:c r="J39" s="54" t="str">
        <x:v>fifth_ave</x:v>
      </x:c>
      <x:c r="K39" s="54" t="str">
        <x:v>walk</x:v>
      </x:c>
      <x:c r="L39" s="54" t="str">
        <x:v>Sí</x:v>
      </x:c>
      <x:c r="M39" s="94" t="str">
        <x:v>Histórico / provisional</x:v>
      </x:c>
      <x:c r="N39" s="94" t="str">
        <x:v>Ver URL</x:v>
      </x:c>
      <x:c r="O39" s="54" t="str"/>
      <x:c r="P39" s="8" t="n">
        <x:v>300</x:v>
      </x:c>
      <x:c r="Q39" s="8" t="n">
        <x:f>IF(P39="","",P39/'99_Parametros'!$B$2)</x:f>
        <x:v>3</x:v>
      </x:c>
      <x:c r="R39" s="42" t="str">
        <x:v>E53rd → 5th Ave → sur hasta St. Patrick's.</x:v>
      </x:c>
      <x:c r="S39" s="42" t="str">
        <x:v>https://www.google.com/maps/dir/?api=1&amp;origin=Paley+Park%2C+New+York%2C+NY&amp;destination=St.+Patrick%27s+Cathedral%2C+New+York%2C+NY&amp;travelmode=walking</x:v>
      </x:c>
      <x:c r="T39" s="42" t="str">
        <x:v>https://www.google.com/maps/dir/?api=1&amp;origin=Paley+Park%2C+New+York%2C+NY&amp;destination=St.+Patrick%27s+Cathedral%2C+New+York%2C+NY&amp;travelmode=walking</x:v>
      </x:c>
      <x:c r="U39" s="42" t="str">
        <x:v>Auditado por trazado urbano</x:v>
      </x:c>
      <x:c r="V39" s="42" t="str">
        <x:v>Media</x:v>
      </x:c>
      <x:c r="W39" s="42" t="str">
        <x:v>10/09/2026</x:v>
      </x:c>
    </x:row>
    <x:row r="40">
      <x:c r="A40" s="45" t="str">
        <x:v>Mar 15</x:v>
      </x:c>
      <x:c r="B40" s="45" t="n">
        <x:v>17</x:v>
      </x:c>
      <x:c r="C40" s="45" t="str">
        <x:v>ST_PATRICK</x:v>
      </x:c>
      <x:c r="D40" s="45" t="str">
        <x:v>ROCKEFELLER</x:v>
      </x:c>
      <x:c r="E40" s="45" t="str">
        <x:v>A pie</x:v>
      </x:c>
      <x:c r="F40" s="93" t="n">
        <x:v>250</x:v>
      </x:c>
      <x:c r="G40" s="93" t="n">
        <x:f>IF(F40="","",ROUND(F40/'99_Parametros'!$B$2,1))</x:f>
        <x:v>2.5</x:v>
      </x:c>
      <x:c r="H40" s="45" t="n">
        <x:v>3</x:v>
      </x:c>
      <x:c r="I40" s="45" t="str">
        <x:v>No</x:v>
      </x:c>
      <x:c r="J40" s="54" t="str">
        <x:v>fifth_ave</x:v>
      </x:c>
      <x:c r="K40" s="54" t="str">
        <x:v>walk</x:v>
      </x:c>
      <x:c r="L40" s="54" t="str">
        <x:v>No</x:v>
      </x:c>
      <x:c r="M40" s="94" t="str">
        <x:v>Reemplazada por auditoría</x:v>
      </x:c>
      <x:c r="N40" s="94" t="str">
        <x:v>No</x:v>
      </x:c>
      <x:c r="O40" s="54" t="str"/>
      <x:c r="P40" s="8" t="n">
        <x:v>226</x:v>
      </x:c>
      <x:c r="Q40" s="8" t="n">
        <x:f>IF(P40="","",P40/'99_Parametros'!$B$2)</x:f>
        <x:v>2.26</x:v>
      </x:c>
      <x:c r="R40" s="42" t="str">
        <x:v>Cruzar 5th / Channel Gardens → Rockefeller Center.</x:v>
      </x:c>
      <x:c r="S40" s="42" t="str">
        <x:v>https://www.google.com/maps/dir/?api=1&amp;origin=St.+Patrick%27s+Cathedral%2C+New+York%2C+NY&amp;destination=Rockefeller+Center%2C+New+York%2C+NY&amp;travelmode=walking</x:v>
      </x:c>
      <x:c r="T40" s="42" t="str">
        <x:v>https://www.rome2rio.com/s/St-Patrick-s-Cathedral-NY-USA/Rockefeller-Center</x:v>
      </x:c>
      <x:c r="U40" s="42" t="str">
        <x:v>Verificado web + auditado</x:v>
      </x:c>
      <x:c r="V40" s="42" t="str">
        <x:v>Alta</x:v>
      </x:c>
      <x:c r="W40" s="42" t="str">
        <x:v>10/09/2026</x:v>
      </x:c>
    </x:row>
    <x:row r="41">
      <x:c r="A41" s="45" t="str">
        <x:v>Mar 15</x:v>
      </x:c>
      <x:c r="B41" s="45" t="n">
        <x:v>18</x:v>
      </x:c>
      <x:c r="C41" s="45" t="str">
        <x:v>ROCKEFELLER</x:v>
      </x:c>
      <x:c r="D41" s="45" t="str">
        <x:v>FAO</x:v>
      </x:c>
      <x:c r="E41" s="45" t="str">
        <x:v>A pie</x:v>
      </x:c>
      <x:c r="F41" s="93" t="n">
        <x:v>100</x:v>
      </x:c>
      <x:c r="G41" s="93" t="n">
        <x:f>IF(F41="","",ROUND(F41/'99_Parametros'!$B$2,1))</x:f>
        <x:v>1</x:v>
      </x:c>
      <x:c r="H41" s="45" t="n">
        <x:v>1</x:v>
      </x:c>
      <x:c r="I41" s="45" t="str">
        <x:v>Sí</x:v>
      </x:c>
      <x:c r="J41" s="54" t="str">
        <x:v>fifth_ave</x:v>
      </x:c>
      <x:c r="K41" s="54" t="str">
        <x:v>walk</x:v>
      </x:c>
      <x:c r="L41" s="54" t="str">
        <x:v>Sí</x:v>
      </x:c>
      <x:c r="M41" s="94" t="str">
        <x:v>Histórico / provisional</x:v>
      </x:c>
      <x:c r="N41" s="94" t="str">
        <x:v>Ver URL</x:v>
      </x:c>
      <x:c r="O41" s="54" t="str">
        <x:v>Opcional; misma zona.</x:v>
      </x:c>
      <x:c r="P41" s="8" t="n">
        <x:v>100</x:v>
      </x:c>
      <x:c r="Q41" s="8" t="n">
        <x:f>IF(P41="","",P41/'99_Parametros'!$B$2)</x:f>
        <x:v>1</x:v>
      </x:c>
      <x:c r="R41" s="42" t="str">
        <x:v>Dentro del complejo Rockefeller → FAO Schwarz.</x:v>
      </x:c>
      <x:c r="S41" s="42" t="str">
        <x:v>https://www.google.com/maps/dir/?api=1&amp;origin=Rockefeller+Center%2C+New+York%2C+NY&amp;destination=FAO+Schwarz+Rockefeller+Center%2C+New+York%2C+NY&amp;travelmode=walking</x:v>
      </x:c>
      <x:c r="T41" s="42" t="str">
        <x:v>https://www.google.com/maps/dir/?api=1&amp;origin=Rockefeller+Center%2C+New+York%2C+NY&amp;destination=FAO+Schwarz+Rockefeller+Center%2C+New+York%2C+NY&amp;travelmode=walking</x:v>
      </x:c>
      <x:c r="U41" s="42" t="str">
        <x:v>Auditado por trazado urbano</x:v>
      </x:c>
      <x:c r="V41" s="42" t="str">
        <x:v>Media</x:v>
      </x:c>
      <x:c r="W41" s="42" t="str">
        <x:v>10/09/2026</x:v>
      </x:c>
    </x:row>
    <x:row r="42">
      <x:c r="A42" s="45" t="str">
        <x:v>Mar 15</x:v>
      </x:c>
      <x:c r="B42" s="45" t="n">
        <x:v>19</x:v>
      </x:c>
      <x:c r="C42" s="45" t="str">
        <x:v>FAO</x:v>
      </x:c>
      <x:c r="D42" s="45" t="str">
        <x:v>RADIO_CITY</x:v>
      </x:c>
      <x:c r="E42" s="45" t="str">
        <x:v>A pie</x:v>
      </x:c>
      <x:c r="F42" s="93" t="n">
        <x:v>300</x:v>
      </x:c>
      <x:c r="G42" s="93" t="n">
        <x:f>IF(F42="","",ROUND(F42/'99_Parametros'!$B$2,1))</x:f>
        <x:v>3</x:v>
      </x:c>
      <x:c r="H42" s="45" t="n">
        <x:v>3</x:v>
      </x:c>
      <x:c r="I42" s="45" t="str">
        <x:v>Sí</x:v>
      </x:c>
      <x:c r="J42" s="54" t="str">
        <x:v>fifth_ave</x:v>
      </x:c>
      <x:c r="K42" s="54" t="str">
        <x:v>walk</x:v>
      </x:c>
      <x:c r="L42" s="54" t="str">
        <x:v>No</x:v>
      </x:c>
      <x:c r="M42" s="94" t="str">
        <x:v>Histórico / provisional</x:v>
      </x:c>
      <x:c r="N42" s="94" t="str">
        <x:v>Ver URL</x:v>
      </x:c>
      <x:c r="O42" s="54" t="str"/>
      <x:c r="P42" s="8" t="n">
        <x:v>223</x:v>
      </x:c>
      <x:c r="Q42" s="8" t="n">
        <x:f>IF(P42="","",P42/'99_Parametros'!$B$2)</x:f>
        <x:v>2.23</x:v>
      </x:c>
      <x:c r="R42" s="42" t="str">
        <x:v>Rockefeller/FAO → W49–50th hacia 6th Ave → Radio City.</x:v>
      </x:c>
      <x:c r="S42" s="42" t="str">
        <x:v>https://www.google.com/maps/dir/?api=1&amp;origin=FAO+Schwarz+Rockefeller+Center%2C+New+York%2C+NY&amp;destination=Radio+City+Music+Hall%2C+New+York%2C+NY&amp;travelmode=walking</x:v>
      </x:c>
      <x:c r="T42" s="42" t="str">
        <x:v>https://www.google.com/maps/dir/?api=1&amp;origin=FAO+Schwarz+Rockefeller+Center%2C+New+York%2C+NY&amp;destination=Radio+City+Music+Hall%2C+New+York%2C+NY&amp;travelmode=walking</x:v>
      </x:c>
      <x:c r="U42" s="42" t="str">
        <x:v>Auditado por trazado urbano</x:v>
      </x:c>
      <x:c r="V42" s="42" t="str">
        <x:v>Media</x:v>
      </x:c>
      <x:c r="W42" s="42" t="str">
        <x:v>10/09/2026</x:v>
      </x:c>
    </x:row>
    <x:row r="43">
      <x:c r="A43" s="45" t="str">
        <x:v>Mar 15</x:v>
      </x:c>
      <x:c r="B43" s="45" t="n">
        <x:v>20</x:v>
      </x:c>
      <x:c r="C43" s="45" t="str">
        <x:v>RADIO_CITY</x:v>
      </x:c>
      <x:c r="D43" s="45" t="str">
        <x:v>TIMES_SQUARE</x:v>
      </x:c>
      <x:c r="E43" s="45" t="str">
        <x:v>A pie</x:v>
      </x:c>
      <x:c r="F43" s="93" t="n">
        <x:v>700</x:v>
      </x:c>
      <x:c r="G43" s="93" t="n">
        <x:f>IF(F43="","",ROUND(F43/'99_Parametros'!$B$2,1))</x:f>
        <x:v>7</x:v>
      </x:c>
      <x:c r="H43" s="45" t="n">
        <x:v>7</x:v>
      </x:c>
      <x:c r="I43" s="45" t="str">
        <x:v>No</x:v>
      </x:c>
      <x:c r="J43" s="54" t="str">
        <x:v>times_square</x:v>
      </x:c>
      <x:c r="K43" s="54" t="str">
        <x:v>walk</x:v>
      </x:c>
      <x:c r="L43" s="54" t="str">
        <x:v>No</x:v>
      </x:c>
      <x:c r="M43" s="94" t="str">
        <x:v>Reemplazada por auditoría</x:v>
      </x:c>
      <x:c r="N43" s="94" t="str">
        <x:v>No</x:v>
      </x:c>
      <x:c r="O43" s="54" t="str"/>
      <x:c r="P43" s="8" t="n">
        <x:v>869</x:v>
      </x:c>
      <x:c r="Q43" s="8" t="n">
        <x:f>IF(P43="","",P43/'99_Parametros'!$B$2)</x:f>
        <x:v>8.69</x:v>
      </x:c>
      <x:c r="R43" s="42" t="str">
        <x:v>6th Ave/Radio City → oeste hacia 7th/Broadway → Times Square.</x:v>
      </x:c>
      <x:c r="S43" s="42" t="str">
        <x:v>https://www.google.com/maps/dir/?api=1&amp;origin=Radio+City+Music+Hall%2C+New+York%2C+NY&amp;destination=Times+Square%2C+New+York%2C+NY&amp;travelmode=walking</x:v>
      </x:c>
      <x:c r="T43" s="42" t="str">
        <x:v>https://www.rome2rio.com/s/Radio-City-Music-Hall/Times-Square</x:v>
      </x:c>
      <x:c r="U43" s="42" t="str">
        <x:v>Verificado web + auditado</x:v>
      </x:c>
      <x:c r="V43" s="42" t="str">
        <x:v>Alta</x:v>
      </x:c>
      <x:c r="W43" s="42" t="str">
        <x:v>10/09/2026</x:v>
      </x:c>
    </x:row>
    <x:row r="44">
      <x:c r="A44" s="45" t="str">
        <x:v>Mar 15</x:v>
      </x:c>
      <x:c r="B44" s="45" t="n">
        <x:v>21</x:v>
      </x:c>
      <x:c r="C44" s="45" t="str">
        <x:v>TIMES_SQUARE</x:v>
      </x:c>
      <x:c r="D44" s="45" t="str">
        <x:v>CHELSEA_BASE</x:v>
      </x:c>
      <x:c r="E44" s="45" t="str">
        <x:v>Metro + a pie</x:v>
      </x:c>
      <x:c r="F44" s="93" t="n">
        <x:v>600</x:v>
      </x:c>
      <x:c r="G44" s="93" t="n">
        <x:f>IF(F44="","",ROUND(F44/'99_Parametros'!$B$2,1))</x:f>
        <x:v>6</x:v>
      </x:c>
      <x:c r="H44" s="45" t="n">
        <x:v>6</x:v>
      </x:c>
      <x:c r="I44" s="45" t="str">
        <x:v>No</x:v>
      </x:c>
      <x:c r="J44" s="54" t="str">
        <x:v>return</x:v>
      </x:c>
      <x:c r="K44" s="54" t="str">
        <x:v>mixed</x:v>
      </x:c>
      <x:c r="L44" s="54" t="str">
        <x:v>No</x:v>
      </x:c>
      <x:c r="M44" s="94" t="str">
        <x:v>Histórico / provisional</x:v>
      </x:c>
      <x:c r="N44" s="94" t="str">
        <x:v>Ver URL</x:v>
      </x:c>
      <x:c r="O44" s="54" t="str">
        <x:v>Sólo componente a pie aproximado; metro no suma caminata.</x:v>
      </x:c>
      <x:c r="P44" s="8" t="n">
        <x:v>450</x:v>
      </x:c>
      <x:c r="Q44" s="8" t="n">
        <x:f>IF(P44="","",P44/'99_Parametros'!$B$2)</x:f>
        <x:v>4.5</x:v>
      </x:c>
      <x:c r="R44" s="42" t="str">
        <x:v>Times Square → metro hacia 14 St/8 Av → caminata al depto.</x:v>
      </x:c>
      <x:c r="S44" s="42" t="str">
        <x:v>https://www.google.com/maps/dir/?api=1&amp;origin=Times+Square%2C+New+York%2C+NY&amp;destination=8th+Avenue+%26+West+18th+Street%2C+New+York%2C+NY&amp;travelmode=transit</x:v>
      </x:c>
      <x:c r="T44" s="42" t="str">
        <x:v>https://www.google.com/maps/dir/?api=1&amp;origin=Times+Square%2C+New+York%2C+NY&amp;destination=8th+Avenue+%26+West+18th+Street%2C+New+York%2C+NY&amp;travelmode=transit</x:v>
      </x:c>
      <x:c r="U44" s="42" t="str">
        <x:v>Auditado por trazado urbano</x:v>
      </x:c>
      <x:c r="V44" s="42" t="str">
        <x:v>Media</x:v>
      </x:c>
      <x:c r="W44" s="42" t="str">
        <x:v>10/09/2026</x:v>
      </x:c>
    </x:row>
    <x:row r="45">
      <x:c r="A45" s="45" t="str">
        <x:v>Mié 16</x:v>
      </x:c>
      <x:c r="B45" s="45" t="n">
        <x:v>1</x:v>
      </x:c>
      <x:c r="C45" s="45" t="str">
        <x:v>CHELSEA_BASE</x:v>
      </x:c>
      <x:c r="D45" s="45" t="str">
        <x:v>STATION_14_8</x:v>
      </x:c>
      <x:c r="E45" s="45" t="str">
        <x:v>A pie</x:v>
      </x:c>
      <x:c r="F45" s="93" t="n">
        <x:v>450</x:v>
      </x:c>
      <x:c r="G45" s="93" t="n">
        <x:f>IF(F45="","",ROUND(F45/'99_Parametros'!$B$2,1))</x:f>
        <x:v>4.5</x:v>
      </x:c>
      <x:c r="H45" s="45" t="n">
        <x:v>5</x:v>
      </x:c>
      <x:c r="I45" s="45" t="str">
        <x:v>No</x:v>
      </x:c>
      <x:c r="J45" s="54" t="str">
        <x:v>brooklyn_day</x:v>
      </x:c>
      <x:c r="K45" s="54" t="str">
        <x:v>walk</x:v>
      </x:c>
      <x:c r="L45" s="54" t="str">
        <x:v>No</x:v>
      </x:c>
      <x:c r="M45" s="94" t="str">
        <x:v>Histórico / provisional</x:v>
      </x:c>
      <x:c r="N45" s="94" t="str">
        <x:v>Ver URL</x:v>
      </x:c>
      <x:c r="O45" s="54" t="str"/>
      <x:c r="P45" s="8" t="n">
        <x:v>350</x:v>
      </x:c>
      <x:c r="Q45" s="8" t="n">
        <x:f>IF(P45="","",P45/'99_Parametros'!$B$2)</x:f>
        <x:v>3.5</x:v>
      </x:c>
      <x:c r="R45" s="42" t="str">
        <x:v>8th Ave sur hasta 14 St–8 Av.</x:v>
      </x:c>
      <x:c r="S45" s="42" t="str">
        <x:v>https://www.google.com/maps/dir/?api=1&amp;origin=8th+Avenue+%26+West+18th+Street%2C+New+York%2C+NY&amp;destination=14+St%E2%80%938+Av+Subway+Station%2C+New+York%2C+NY&amp;travelmode=walking</x:v>
      </x:c>
      <x:c r="T45" s="42" t="str">
        <x:v>https://www.google.com/maps/dir/?api=1&amp;origin=8th+Avenue+%26+West+18th+Street%2C+New+York%2C+NY&amp;destination=14+St%E2%80%938+Av+Subway+Station%2C+New+York%2C+NY&amp;travelmode=walking</x:v>
      </x:c>
      <x:c r="U45" s="42" t="str">
        <x:v>Auditado por trazado urbano</x:v>
      </x:c>
      <x:c r="V45" s="42" t="str">
        <x:v>Media</x:v>
      </x:c>
      <x:c r="W45" s="42" t="str">
        <x:v>10/09/2026</x:v>
      </x:c>
    </x:row>
    <x:row r="46">
      <x:c r="A46" s="45" t="str">
        <x:v>Mié 16</x:v>
      </x:c>
      <x:c r="B46" s="45" t="n">
        <x:v>2</x:v>
      </x:c>
      <x:c r="C46" s="45" t="str">
        <x:v>STATION_14_8</x:v>
      </x:c>
      <x:c r="D46" s="45" t="str">
        <x:v>DUMBO_WASHINGTON</x:v>
      </x:c>
      <x:c r="E46" s="45" t="str">
        <x:v>Metro + a pie</x:v>
      </x:c>
      <x:c r="F46" s="93" t="n">
        <x:v>700</x:v>
      </x:c>
      <x:c r="G46" s="93" t="n">
        <x:f>IF(F46="","",ROUND(F46/'99_Parametros'!$B$2,1))</x:f>
        <x:v>7</x:v>
      </x:c>
      <x:c r="H46" s="45" t="n">
        <x:v>7</x:v>
      </x:c>
      <x:c r="I46" s="45" t="str">
        <x:v>No</x:v>
      </x:c>
      <x:c r="J46" s="54" t="str">
        <x:v>brooklyn_day</x:v>
      </x:c>
      <x:c r="K46" s="54" t="str">
        <x:v>mixed</x:v>
      </x:c>
      <x:c r="L46" s="54" t="str">
        <x:v>No</x:v>
      </x:c>
      <x:c r="M46" s="94" t="str">
        <x:v>Histórico / provisional</x:v>
      </x:c>
      <x:c r="N46" s="94" t="str">
        <x:v>Ver URL</x:v>
      </x:c>
      <x:c r="O46" s="54" t="str">
        <x:v>Componente a pie depende de High St vs York St.</x:v>
      </x:c>
      <x:c r="P46" s="8" t="n">
        <x:v>700</x:v>
      </x:c>
      <x:c r="Q46" s="8" t="n">
        <x:f>IF(P46="","",P46/'99_Parametros'!$B$2)</x:f>
        <x:v>7</x:v>
      </x:c>
      <x:c r="R46" s="42" t="str">
        <x:v>Metro a High St o York St según servicio → caminata a Washington St &amp; Water St.</x:v>
      </x:c>
      <x:c r="S46" s="42" t="str">
        <x:v>https://www.google.com/maps/dir/?api=1&amp;origin=14+St%E2%80%938+Av+Subway+Station%2C+New+York%2C+NY&amp;destination=Washington+Street+%26+Water+Street%2C+Brooklyn%2C+NY&amp;travelmode=transit</x:v>
      </x:c>
      <x:c r="T46" s="42" t="str">
        <x:v>https://www.google.com/maps/dir/?api=1&amp;origin=14+St%E2%80%938+Av+Subway+Station%2C+New+York%2C+NY&amp;destination=Washington+Street+%26+Water+Street%2C+Brooklyn%2C+NY&amp;travelmode=transit</x:v>
      </x:c>
      <x:c r="U46" s="42" t="str">
        <x:v>Auditado por trazado urbano</x:v>
      </x:c>
      <x:c r="V46" s="42" t="str">
        <x:v>Media</x:v>
      </x:c>
      <x:c r="W46" s="42" t="str">
        <x:v>10/09/2026</x:v>
      </x:c>
    </x:row>
    <x:row r="47">
      <x:c r="A47" s="45" t="str">
        <x:v>Mié 16</x:v>
      </x:c>
      <x:c r="B47" s="45" t="n">
        <x:v>3</x:v>
      </x:c>
      <x:c r="C47" s="45" t="str">
        <x:v>DUMBO_WASHINGTON</x:v>
      </x:c>
      <x:c r="D47" s="45" t="str">
        <x:v>MAIN_ST_PARK</x:v>
      </x:c>
      <x:c r="E47" s="45" t="str">
        <x:v>A pie</x:v>
      </x:c>
      <x:c r="F47" s="93" t="n">
        <x:v>500</x:v>
      </x:c>
      <x:c r="G47" s="93" t="n">
        <x:f>IF(F47="","",ROUND(F47/'99_Parametros'!$B$2,1))</x:f>
        <x:v>5</x:v>
      </x:c>
      <x:c r="H47" s="45" t="n">
        <x:v>5</x:v>
      </x:c>
      <x:c r="I47" s="45" t="str">
        <x:v>No</x:v>
      </x:c>
      <x:c r="J47" s="54" t="str">
        <x:v>dumbo</x:v>
      </x:c>
      <x:c r="K47" s="54" t="str">
        <x:v>walk</x:v>
      </x:c>
      <x:c r="L47" s="54" t="str">
        <x:v>No</x:v>
      </x:c>
      <x:c r="M47" s="94" t="str">
        <x:v>Histórico / provisional</x:v>
      </x:c>
      <x:c r="N47" s="94" t="str">
        <x:v>Ver URL</x:v>
      </x:c>
      <x:c r="O47" s="54" t="str"/>
      <x:c r="P47" s="8" t="n">
        <x:v>250</x:v>
      </x:c>
      <x:c r="Q47" s="8" t="n">
        <x:f>IF(P47="","",P47/'99_Parametros'!$B$2)</x:f>
        <x:v>2.5</x:v>
      </x:c>
      <x:c r="R47" s="42" t="str">
        <x:v>Washington/Water → Water St/Main St → Main Street Park.</x:v>
      </x:c>
      <x:c r="S47" s="42" t="str">
        <x:v>https://www.google.com/maps/dir/?api=1&amp;origin=Washington+Street+%26+Water+Street%2C+Brooklyn%2C+NY&amp;destination=Main+Street+Park%2C+Brooklyn%2C+NY&amp;travelmode=walking</x:v>
      </x:c>
      <x:c r="T47" s="42" t="str">
        <x:v>https://www.google.com/maps/dir/?api=1&amp;origin=Washington+Street+%26+Water+Street%2C+Brooklyn%2C+NY&amp;destination=Main+Street+Park%2C+Brooklyn%2C+NY&amp;travelmode=walking</x:v>
      </x:c>
      <x:c r="U47" s="42" t="str">
        <x:v>Auditado por trazado urbano</x:v>
      </x:c>
      <x:c r="V47" s="42" t="str">
        <x:v>Media</x:v>
      </x:c>
      <x:c r="W47" s="42" t="str">
        <x:v>10/09/2026</x:v>
      </x:c>
    </x:row>
    <x:row r="48">
      <x:c r="A48" s="45" t="str">
        <x:v>Mié 16</x:v>
      </x:c>
      <x:c r="B48" s="45" t="n">
        <x:v>4</x:v>
      </x:c>
      <x:c r="C48" s="45" t="str">
        <x:v>MAIN_ST_PARK</x:v>
      </x:c>
      <x:c r="D48" s="45" t="str">
        <x:v>PEBBLE_BEACH</x:v>
      </x:c>
      <x:c r="E48" s="45" t="str">
        <x:v>A pie</x:v>
      </x:c>
      <x:c r="F48" s="93" t="n">
        <x:v>350</x:v>
      </x:c>
      <x:c r="G48" s="93" t="n">
        <x:f>IF(F48="","",ROUND(F48/'99_Parametros'!$B$2,1))</x:f>
        <x:v>3.5</x:v>
      </x:c>
      <x:c r="H48" s="45" t="n">
        <x:v>4</x:v>
      </x:c>
      <x:c r="I48" s="45" t="str">
        <x:v>No</x:v>
      </x:c>
      <x:c r="J48" s="54" t="str">
        <x:v>dumbo</x:v>
      </x:c>
      <x:c r="K48" s="54" t="str">
        <x:v>walk</x:v>
      </x:c>
      <x:c r="L48" s="54" t="str">
        <x:v>No</x:v>
      </x:c>
      <x:c r="M48" s="94" t="str">
        <x:v>Reemplazada por auditoría</x:v>
      </x:c>
      <x:c r="N48" s="94" t="str">
        <x:v>No</x:v>
      </x:c>
      <x:c r="O48" s="54" t="str"/>
      <x:c r="P48" s="8" t="n">
        <x:v>150</x:v>
      </x:c>
      <x:c r="Q48" s="8" t="n">
        <x:f>IF(P48="","",P48/'99_Parametros'!$B$2)</x:f>
        <x:v>1.5</x:v>
      </x:c>
      <x:c r="R48" s="42" t="str">
        <x:v>Dentro de Brooklyn Bridge Park: Main Street → Pebble Beach.</x:v>
      </x:c>
      <x:c r="S48" s="42" t="str">
        <x:v>https://www.google.com/maps/dir/?api=1&amp;origin=Main+Street+Park%2C+Brooklyn%2C+NY&amp;destination=Pebble+Beach%2C+Brooklyn+Bridge+Park%2C+Brooklyn%2C+NY&amp;travelmode=walking</x:v>
      </x:c>
      <x:c r="T48" s="42" t="str">
        <x:v>https://brooklynbridgepark.org/places-to-see/main-street-terrace/</x:v>
      </x:c>
      <x:c r="U48" s="42" t="str">
        <x:v>Verificado web + auditado</x:v>
      </x:c>
      <x:c r="V48" s="42" t="str">
        <x:v>Alta</x:v>
      </x:c>
      <x:c r="W48" s="42" t="str">
        <x:v>10/09/2026</x:v>
      </x:c>
    </x:row>
    <x:row r="49">
      <x:c r="A49" s="45" t="str">
        <x:v>Mié 16</x:v>
      </x:c>
      <x:c r="B49" s="45" t="n">
        <x:v>5</x:v>
      </x:c>
      <x:c r="C49" s="45" t="str">
        <x:v>PEBBLE_BEACH</x:v>
      </x:c>
      <x:c r="D49" s="45" t="str">
        <x:v>JANE_CAROUSEL</x:v>
      </x:c>
      <x:c r="E49" s="45" t="str">
        <x:v>A pie</x:v>
      </x:c>
      <x:c r="F49" s="93" t="n">
        <x:v>350</x:v>
      </x:c>
      <x:c r="G49" s="93" t="n">
        <x:f>IF(F49="","",ROUND(F49/'99_Parametros'!$B$2,1))</x:f>
        <x:v>3.5</x:v>
      </x:c>
      <x:c r="H49" s="45" t="n">
        <x:v>4</x:v>
      </x:c>
      <x:c r="I49" s="45" t="str">
        <x:v>No</x:v>
      </x:c>
      <x:c r="J49" s="54" t="str">
        <x:v>dumbo</x:v>
      </x:c>
      <x:c r="K49" s="54" t="str">
        <x:v>walk</x:v>
      </x:c>
      <x:c r="L49" s="54" t="str">
        <x:v>No</x:v>
      </x:c>
      <x:c r="M49" s="94" t="str">
        <x:v>Histórico / provisional</x:v>
      </x:c>
      <x:c r="N49" s="94" t="str">
        <x:v>Ver URL</x:v>
      </x:c>
      <x:c r="O49" s="54" t="str"/>
      <x:c r="P49" s="8" t="n">
        <x:v>300</x:v>
      </x:c>
      <x:c r="Q49" s="8" t="n">
        <x:f>IF(P49="","",P49/'99_Parametros'!$B$2)</x:f>
        <x:v>3</x:v>
      </x:c>
      <x:c r="R49" s="42" t="str">
        <x:v>Waterfront hacia el oeste → Jane's Carousel.</x:v>
      </x:c>
      <x:c r="S49" s="42" t="str">
        <x:v>https://www.google.com/maps/dir/?api=1&amp;origin=Pebble+Beach%2C+Brooklyn+Bridge+Park%2C+Brooklyn%2C+NY&amp;destination=Jane%27s+Carousel%2C+Brooklyn%2C+NY&amp;travelmode=walking</x:v>
      </x:c>
      <x:c r="T49" s="42" t="str">
        <x:v>https://www.google.com/maps/dir/?api=1&amp;origin=Pebble+Beach%2C+Brooklyn+Bridge+Park%2C+Brooklyn%2C+NY&amp;destination=Jane%27s+Carousel%2C+Brooklyn%2C+NY&amp;travelmode=walking</x:v>
      </x:c>
      <x:c r="U49" s="42" t="str">
        <x:v>Auditado por trazado urbano</x:v>
      </x:c>
      <x:c r="V49" s="42" t="str">
        <x:v>Media</x:v>
      </x:c>
      <x:c r="W49" s="42" t="str">
        <x:v>10/09/2026</x:v>
      </x:c>
    </x:row>
    <x:row r="50">
      <x:c r="A50" s="45" t="str">
        <x:v>Mié 16</x:v>
      </x:c>
      <x:c r="B50" s="45" t="n">
        <x:v>6</x:v>
      </x:c>
      <x:c r="C50" s="45" t="str">
        <x:v>JANE_CAROUSEL</x:v>
      </x:c>
      <x:c r="D50" s="45" t="str">
        <x:v>BK_PROMENADE</x:v>
      </x:c>
      <x:c r="E50" s="45" t="str">
        <x:v>A pie</x:v>
      </x:c>
      <x:c r="F50" s="93" t="n">
        <x:v>1200</x:v>
      </x:c>
      <x:c r="G50" s="93" t="n">
        <x:f>IF(F50="","",ROUND(F50/'99_Parametros'!$B$2,1))</x:f>
        <x:v>12</x:v>
      </x:c>
      <x:c r="H50" s="45" t="n">
        <x:v>12</x:v>
      </x:c>
      <x:c r="I50" s="45" t="str">
        <x:v>No</x:v>
      </x:c>
      <x:c r="J50" s="54" t="str">
        <x:v>dumbo</x:v>
      </x:c>
      <x:c r="K50" s="54" t="str">
        <x:v>walk</x:v>
      </x:c>
      <x:c r="L50" s="54" t="str">
        <x:v>No</x:v>
      </x:c>
      <x:c r="M50" s="94" t="str">
        <x:v>Histórico / provisional</x:v>
      </x:c>
      <x:c r="N50" s="94" t="str">
        <x:v>Ver URL</x:v>
      </x:c>
      <x:c r="O50" s="54" t="str">
        <x:v>Cruce hacia Brooklyn Heights.</x:v>
      </x:c>
      <x:c r="P50" s="8" t="n">
        <x:v>1250</x:v>
      </x:c>
      <x:c r="Q50" s="8" t="n">
        <x:f>IF(P50="","",P50/'99_Parametros'!$B$2)</x:f>
        <x:v>12.5</x:v>
      </x:c>
      <x:c r="R50" s="42" t="str">
        <x:v>Old Fulton/Furman → Hicks/Henry → Remsen St → acceso sur de Brooklyn Heights Promenade.</x:v>
      </x:c>
      <x:c r="S50" s="42" t="str">
        <x:v>https://www.google.com/maps/dir/?api=1&amp;origin=Jane%27s+Carousel%2C+Brooklyn%2C+NY&amp;destination=Brooklyn+Heights+Promenade+Remsen+Street+entrance%2C+Brooklyn%2C+NY&amp;travelmode=walking</x:v>
      </x:c>
      <x:c r="T50" s="42" t="str">
        <x:v>https://www.google.com/maps/dir/?api=1&amp;origin=Jane%27s+Carousel%2C+Brooklyn%2C+NY&amp;destination=Brooklyn+Heights+Promenade+Remsen+Street+entrance%2C+Brooklyn%2C+NY&amp;travelmode=walking</x:v>
      </x:c>
      <x:c r="U50" s="42" t="str">
        <x:v>Auditado por trazado urbano</x:v>
      </x:c>
      <x:c r="V50" s="42" t="str">
        <x:v>Media</x:v>
      </x:c>
      <x:c r="W50" s="42" t="str">
        <x:v>10/09/2026</x:v>
      </x:c>
    </x:row>
    <x:row r="51">
      <x:c r="A51" s="45" t="str">
        <x:v>Mié 16</x:v>
      </x:c>
      <x:c r="B51" s="45" t="n">
        <x:v>7</x:v>
      </x:c>
      <x:c r="C51" s="45" t="str">
        <x:v>BK_PROMENADE</x:v>
      </x:c>
      <x:c r="D51" s="45" t="str">
        <x:v>BK_PROMENADE</x:v>
      </x:c>
      <x:c r="E51" s="45" t="str">
        <x:v>Paseo a pie</x:v>
      </x:c>
      <x:c r="F51" s="93" t="n">
        <x:v>800</x:v>
      </x:c>
      <x:c r="G51" s="93" t="n">
        <x:f>IF(F51="","",ROUND(F51/'99_Parametros'!$B$2,1))</x:f>
        <x:v>8</x:v>
      </x:c>
      <x:c r="H51" s="45" t="n">
        <x:v>8</x:v>
      </x:c>
      <x:c r="I51" s="45" t="str">
        <x:v>No</x:v>
      </x:c>
      <x:c r="J51" s="54" t="str">
        <x:v>promenade</x:v>
      </x:c>
      <x:c r="K51" s="54" t="str">
        <x:v>walk</x:v>
      </x:c>
      <x:c r="L51" s="54" t="str">
        <x:v>No</x:v>
      </x:c>
      <x:c r="M51" s="94" t="str">
        <x:v>Histórico / provisional</x:v>
      </x:c>
      <x:c r="N51" s="94" t="str">
        <x:v>Ver URL</x:v>
      </x:c>
      <x:c r="O51" s="54" t="str">
        <x:v>Tramo de promenade, no ida-vuelta completa.</x:v>
      </x:c>
      <x:c r="P51" s="8" t="n">
        <x:v>600</x:v>
      </x:c>
      <x:c r="Q51" s="8" t="n">
        <x:f>IF(P51="","",P51/'99_Parametros'!$B$2)</x:f>
        <x:v>6</x:v>
      </x:c>
      <x:c r="R51" s="42" t="str">
        <x:v>Recorrer la Promenade desde Remsen hacia el norte hasta Orange St. Waypoint para mapa: Brooklyn Heights Promenade Orange Street, Brooklyn, NY.</x:v>
      </x:c>
      <x:c r="S51" s="42" t="str">
        <x:v>https://www.google.com/maps/dir/?api=1&amp;origin=Brooklyn+Heights+Promenade+Remsen+Street+entrance%2C+Brooklyn%2C+NY&amp;destination=Brooklyn+Heights+Promenade+Remsen+Street+entrance%2C+Brooklyn%2C+NY&amp;travelmode=walking&amp;waypoints=Brooklyn+Heights+Promenade+Orange+Street%2C+Brooklyn%2C+NY</x:v>
      </x:c>
      <x:c r="T51" s="42" t="str">
        <x:v>https://www.google.com/maps/dir/?api=1&amp;origin=Brooklyn+Heights+Promenade+Remsen+Street+entrance%2C+Brooklyn%2C+NY&amp;destination=Brooklyn+Heights+Promenade+Remsen+Street+entrance%2C+Brooklyn%2C+NY&amp;travelmode=walking&amp;waypoints=Brooklyn+Heights+Promenade+Orange+Street%2C+Brooklyn%2C+NY</x:v>
      </x:c>
      <x:c r="U51" s="42" t="str">
        <x:v>Auditado por trazado urbano</x:v>
      </x:c>
      <x:c r="V51" s="42" t="str">
        <x:v>Media</x:v>
      </x:c>
      <x:c r="W51" s="42" t="str">
        <x:v>10/09/2026</x:v>
      </x:c>
    </x:row>
    <x:row r="52">
      <x:c r="A52" s="45" t="str">
        <x:v>Mié 16</x:v>
      </x:c>
      <x:c r="B52" s="45" t="n">
        <x:v>8</x:v>
      </x:c>
      <x:c r="C52" s="45" t="str">
        <x:v>BK_PROMENADE</x:v>
      </x:c>
      <x:c r="D52" s="45" t="str">
        <x:v>BK_BRIDGE_BK</x:v>
      </x:c>
      <x:c r="E52" s="45" t="str">
        <x:v>A pie</x:v>
      </x:c>
      <x:c r="F52" s="93" t="n">
        <x:v>700</x:v>
      </x:c>
      <x:c r="G52" s="93" t="n">
        <x:f>IF(F52="","",ROUND(F52/'99_Parametros'!$B$2,1))</x:f>
        <x:v>7</x:v>
      </x:c>
      <x:c r="H52" s="45" t="n">
        <x:v>7</x:v>
      </x:c>
      <x:c r="I52" s="45" t="str">
        <x:v>No</x:v>
      </x:c>
      <x:c r="J52" s="54" t="str">
        <x:v>bridge</x:v>
      </x:c>
      <x:c r="K52" s="54" t="str">
        <x:v>walk</x:v>
      </x:c>
      <x:c r="L52" s="54" t="str">
        <x:v>No</x:v>
      </x:c>
      <x:c r="M52" s="94" t="str">
        <x:v>Reemplazada por auditoría</x:v>
      </x:c>
      <x:c r="N52" s="94" t="str">
        <x:v>No</x:v>
      </x:c>
      <x:c r="O52" s="54" t="str"/>
      <x:c r="P52" s="8" t="n">
        <x:v>800</x:v>
      </x:c>
      <x:c r="Q52" s="8" t="n">
        <x:f>IF(P52="","",P52/'99_Parametros'!$B$2)</x:f>
        <x:v>8</x:v>
      </x:c>
      <x:c r="R52" s="42" t="str">
        <x:v>Orange St → Cadman Plaza/Prospect St → acceso peatonal del Brooklyn Bridge.</x:v>
      </x:c>
      <x:c r="S52" s="42" t="str">
        <x:v>https://www.google.com/maps/dir/?api=1&amp;origin=Brooklyn+Heights+Promenade+Remsen+Street+entrance%2C+Brooklyn%2C+NY&amp;destination=Brooklyn+Bridge+Pedestrian+Entrance+Brooklyn%2C+NY&amp;travelmode=walking</x:v>
      </x:c>
      <x:c r="T52" s="42" t="str">
        <x:v>https://www.tripadvisor.com/ShowTopic-g60827-i617-k5655259-Directions_Needed_Brooklyn_Heights_Promenade_Bridge-Brooklyn_New_York.html</x:v>
      </x:c>
      <x:c r="U52" s="42" t="str">
        <x:v>Verificado web + auditado</x:v>
      </x:c>
      <x:c r="V52" s="42" t="str">
        <x:v>Alta</x:v>
      </x:c>
      <x:c r="W52" s="42" t="str">
        <x:v>10/09/2026</x:v>
      </x:c>
    </x:row>
    <x:row r="53">
      <x:c r="A53" s="45" t="str">
        <x:v>Mié 16</x:v>
      </x:c>
      <x:c r="B53" s="45" t="n">
        <x:v>9</x:v>
      </x:c>
      <x:c r="C53" s="45" t="str">
        <x:v>BK_BRIDGE_BK</x:v>
      </x:c>
      <x:c r="D53" s="45" t="str">
        <x:v>BK_BRIDGE_MH</x:v>
      </x:c>
      <x:c r="E53" s="45" t="str">
        <x:v>A pie</x:v>
      </x:c>
      <x:c r="F53" s="93" t="n">
        <x:v>1800</x:v>
      </x:c>
      <x:c r="G53" s="93" t="n">
        <x:f>IF(F53="","",ROUND(F53/'99_Parametros'!$B$2,1))</x:f>
        <x:v>18</x:v>
      </x:c>
      <x:c r="H53" s="45" t="n">
        <x:v>18</x:v>
      </x:c>
      <x:c r="I53" s="45" t="str">
        <x:v>No</x:v>
      </x:c>
      <x:c r="J53" s="54" t="str">
        <x:v>bridge</x:v>
      </x:c>
      <x:c r="K53" s="54" t="str">
        <x:v>walk</x:v>
      </x:c>
      <x:c r="L53" s="54" t="str">
        <x:v>No</x:v>
      </x:c>
      <x:c r="M53" s="94" t="str">
        <x:v>Reemplazada por auditoría</x:v>
      </x:c>
      <x:c r="N53" s="94" t="str">
        <x:v>No</x:v>
      </x:c>
      <x:c r="O53" s="54" t="str">
        <x:v>El bloque horario es mayor por fotos, gente y cochecito.</x:v>
      </x:c>
      <x:c r="P53" s="8" t="n">
        <x:v>1800</x:v>
      </x:c>
      <x:c r="Q53" s="8" t="n">
        <x:f>IF(P53="","",P53/'99_Parametros'!$B$2)</x:f>
        <x:v>18</x:v>
      </x:c>
      <x:c r="R53" s="42" t="str">
        <x:v>Brooklyn Bridge pedestrian walkway → City Hall Park, Manhattan.</x:v>
      </x:c>
      <x:c r="S53" s="42" t="str">
        <x:v>https://www.google.com/maps/dir/?api=1&amp;origin=Brooklyn+Bridge+Pedestrian+Entrance+Brooklyn%2C+NY&amp;destination=Brooklyn+Bridge+Manhattan+Side%2C+New+York%2C+NY&amp;travelmode=walking</x:v>
      </x:c>
      <x:c r="T53" s="42" t="str">
        <x:v>https://brooklynbridgepark.org/places-to-see/brooklyn-bridge/</x:v>
      </x:c>
      <x:c r="U53" s="42" t="str">
        <x:v>Verificado web + auditado</x:v>
      </x:c>
      <x:c r="V53" s="42" t="str">
        <x:v>Alta</x:v>
      </x:c>
      <x:c r="W53" s="42" t="str">
        <x:v>10/09/2026</x:v>
      </x:c>
    </x:row>
    <x:row r="54">
      <x:c r="A54" s="45" t="str">
        <x:v>Mié 16</x:v>
      </x:c>
      <x:c r="B54" s="45" t="n">
        <x:v>10</x:v>
      </x:c>
      <x:c r="C54" s="45" t="str">
        <x:v>BK_BRIDGE_MH</x:v>
      </x:c>
      <x:c r="D54" s="45" t="str">
        <x:v>CHINATOWN</x:v>
      </x:c>
      <x:c r="E54" s="45" t="str">
        <x:v>A pie</x:v>
      </x:c>
      <x:c r="F54" s="93" t="n">
        <x:v>900</x:v>
      </x:c>
      <x:c r="G54" s="93" t="n">
        <x:f>IF(F54="","",ROUND(F54/'99_Parametros'!$B$2,1))</x:f>
        <x:v>9</x:v>
      </x:c>
      <x:c r="H54" s="45" t="n">
        <x:v>9</x:v>
      </x:c>
      <x:c r="I54" s="45" t="str">
        <x:v>No</x:v>
      </x:c>
      <x:c r="J54" s="54" t="str">
        <x:v>lower_manhattan</x:v>
      </x:c>
      <x:c r="K54" s="54" t="str">
        <x:v>walk</x:v>
      </x:c>
      <x:c r="L54" s="54" t="str">
        <x:v>No</x:v>
      </x:c>
      <x:c r="M54" s="94" t="str">
        <x:v>Histórico / provisional</x:v>
      </x:c>
      <x:c r="N54" s="94" t="str">
        <x:v>Ver URL</x:v>
      </x:c>
      <x:c r="O54" s="54" t="str"/>
      <x:c r="P54" s="8" t="n">
        <x:v>1200</x:v>
      </x:c>
      <x:c r="Q54" s="8" t="n">
        <x:f>IF(P54="","",P54/'99_Parametros'!$B$2)</x:f>
        <x:v>12</x:v>
      </x:c>
      <x:c r="R54" s="42" t="str">
        <x:v>City Hall/Park Row → Centre/Baxter/Mott hacia Canal St, Chinatown.</x:v>
      </x:c>
      <x:c r="S54" s="42" t="str">
        <x:v>https://www.google.com/maps/dir/?api=1&amp;origin=Brooklyn+Bridge+Manhattan+Side%2C+New+York%2C+NY&amp;destination=Mott+Street+%26+Canal+Street%2C+New+York%2C+NY&amp;travelmode=walking</x:v>
      </x:c>
      <x:c r="T54" s="42" t="str">
        <x:v>https://www.google.com/maps/dir/?api=1&amp;origin=Brooklyn+Bridge+Manhattan+Side%2C+New+York%2C+NY&amp;destination=Mott+Street+%26+Canal+Street%2C+New+York%2C+NY&amp;travelmode=walking</x:v>
      </x:c>
      <x:c r="U54" s="42" t="str">
        <x:v>Auditado por trazado urbano</x:v>
      </x:c>
      <x:c r="V54" s="42" t="str">
        <x:v>Media</x:v>
      </x:c>
      <x:c r="W54" s="42" t="str">
        <x:v>10/09/2026</x:v>
      </x:c>
    </x:row>
    <x:row r="55">
      <x:c r="A55" s="45" t="str">
        <x:v>Mié 16</x:v>
      </x:c>
      <x:c r="B55" s="45" t="n">
        <x:v>11</x:v>
      </x:c>
      <x:c r="C55" s="45" t="str">
        <x:v>CHINATOWN</x:v>
      </x:c>
      <x:c r="D55" s="45" t="str">
        <x:v>LITTLE_ITALY</x:v>
      </x:c>
      <x:c r="E55" s="45" t="str">
        <x:v>A pie</x:v>
      </x:c>
      <x:c r="F55" s="93" t="n">
        <x:v>600</x:v>
      </x:c>
      <x:c r="G55" s="93" t="n">
        <x:f>IF(F55="","",ROUND(F55/'99_Parametros'!$B$2,1))</x:f>
        <x:v>6</x:v>
      </x:c>
      <x:c r="H55" s="45" t="n">
        <x:v>6</x:v>
      </x:c>
      <x:c r="I55" s="45" t="str">
        <x:v>No</x:v>
      </x:c>
      <x:c r="J55" s="54" t="str">
        <x:v>neighborhoods</x:v>
      </x:c>
      <x:c r="K55" s="54" t="str">
        <x:v>walk</x:v>
      </x:c>
      <x:c r="L55" s="54" t="str">
        <x:v>No</x:v>
      </x:c>
      <x:c r="M55" s="94" t="str">
        <x:v>Histórico / provisional</x:v>
      </x:c>
      <x:c r="N55" s="94" t="str">
        <x:v>Ver URL</x:v>
      </x:c>
      <x:c r="O55" s="54" t="str"/>
      <x:c r="P55" s="8" t="n">
        <x:v>500</x:v>
      </x:c>
      <x:c r="Q55" s="8" t="n">
        <x:f>IF(P55="","",P55/'99_Parametros'!$B$2)</x:f>
        <x:v>5</x:v>
      </x:c>
      <x:c r="R55" s="42" t="str">
        <x:v>Mott/Canal → Broome/Mulberry, Little Italy.</x:v>
      </x:c>
      <x:c r="S55" s="42" t="str">
        <x:v>https://www.google.com/maps/dir/?api=1&amp;origin=Mott+Street+%26+Canal+Street%2C+New+York%2C+NY&amp;destination=Mulberry+Street+%26+Broome+Street%2C+New+York%2C+NY&amp;travelmode=walking</x:v>
      </x:c>
      <x:c r="T55" s="42" t="str">
        <x:v>https://www.google.com/maps/dir/?api=1&amp;origin=Mott+Street+%26+Canal+Street%2C+New+York%2C+NY&amp;destination=Mulberry+Street+%26+Broome+Street%2C+New+York%2C+NY&amp;travelmode=walking</x:v>
      </x:c>
      <x:c r="U55" s="42" t="str">
        <x:v>Auditado por trazado urbano</x:v>
      </x:c>
      <x:c r="V55" s="42" t="str">
        <x:v>Media</x:v>
      </x:c>
      <x:c r="W55" s="42" t="str">
        <x:v>10/09/2026</x:v>
      </x:c>
    </x:row>
    <x:row r="56">
      <x:c r="A56" s="45" t="str">
        <x:v>Mié 16</x:v>
      </x:c>
      <x:c r="B56" s="45" t="n">
        <x:v>12</x:v>
      </x:c>
      <x:c r="C56" s="45" t="str">
        <x:v>LITTLE_ITALY</x:v>
      </x:c>
      <x:c r="D56" s="45" t="str">
        <x:v>SOHO</x:v>
      </x:c>
      <x:c r="E56" s="45" t="str">
        <x:v>A pie</x:v>
      </x:c>
      <x:c r="F56" s="93" t="n">
        <x:v>900</x:v>
      </x:c>
      <x:c r="G56" s="93" t="n">
        <x:f>IF(F56="","",ROUND(F56/'99_Parametros'!$B$2,1))</x:f>
        <x:v>9</x:v>
      </x:c>
      <x:c r="H56" s="45" t="n">
        <x:v>9</x:v>
      </x:c>
      <x:c r="I56" s="45" t="str">
        <x:v>No</x:v>
      </x:c>
      <x:c r="J56" s="54" t="str">
        <x:v>neighborhoods</x:v>
      </x:c>
      <x:c r="K56" s="54" t="str">
        <x:v>walk</x:v>
      </x:c>
      <x:c r="L56" s="54" t="str">
        <x:v>No</x:v>
      </x:c>
      <x:c r="M56" s="94" t="str">
        <x:v>Histórico / provisional</x:v>
      </x:c>
      <x:c r="N56" s="94" t="str">
        <x:v>Ver URL</x:v>
      </x:c>
      <x:c r="O56" s="54" t="str"/>
      <x:c r="P56" s="8" t="n">
        <x:v>500</x:v>
      </x:c>
      <x:c r="Q56" s="8" t="n">
        <x:f>IF(P56="","",P56/'99_Parametros'!$B$2)</x:f>
        <x:v>5</x:v>
      </x:c>
      <x:c r="R56" s="42" t="str">
        <x:v>Mulberry/Broome → Prince St/Broadway, SoHo.</x:v>
      </x:c>
      <x:c r="S56" s="42" t="str">
        <x:v>https://www.google.com/maps/dir/?api=1&amp;origin=Mulberry+Street+%26+Broome+Street%2C+New+York%2C+NY&amp;destination=Prince+Street+%26+Broadway%2C+New+York%2C+NY&amp;travelmode=walking</x:v>
      </x:c>
      <x:c r="T56" s="42" t="str">
        <x:v>https://www.google.com/maps/dir/?api=1&amp;origin=Mulberry+Street+%26+Broome+Street%2C+New+York%2C+NY&amp;destination=Prince+Street+%26+Broadway%2C+New+York%2C+NY&amp;travelmode=walking</x:v>
      </x:c>
      <x:c r="U56" s="42" t="str">
        <x:v>Auditado por trazado urbano</x:v>
      </x:c>
      <x:c r="V56" s="42" t="str">
        <x:v>Media</x:v>
      </x:c>
      <x:c r="W56" s="42" t="str">
        <x:v>10/09/2026</x:v>
      </x:c>
    </x:row>
    <x:row r="57">
      <x:c r="A57" s="45" t="str">
        <x:v>Mié 16</x:v>
      </x:c>
      <x:c r="B57" s="45" t="n">
        <x:v>13</x:v>
      </x:c>
      <x:c r="C57" s="45" t="str">
        <x:v>SOHO</x:v>
      </x:c>
      <x:c r="D57" s="45" t="str">
        <x:v>WASHINGTON_SQ</x:v>
      </x:c>
      <x:c r="E57" s="45" t="str">
        <x:v>A pie</x:v>
      </x:c>
      <x:c r="F57" s="93" t="n">
        <x:v>1200</x:v>
      </x:c>
      <x:c r="G57" s="93" t="n">
        <x:f>IF(F57="","",ROUND(F57/'99_Parametros'!$B$2,1))</x:f>
        <x:v>12</x:v>
      </x:c>
      <x:c r="H57" s="45" t="n">
        <x:v>12</x:v>
      </x:c>
      <x:c r="I57" s="45" t="str">
        <x:v>No</x:v>
      </x:c>
      <x:c r="J57" s="54" t="str">
        <x:v>neighborhoods</x:v>
      </x:c>
      <x:c r="K57" s="54" t="str">
        <x:v>walk</x:v>
      </x:c>
      <x:c r="L57" s="54" t="str">
        <x:v>No</x:v>
      </x:c>
      <x:c r="M57" s="94" t="str">
        <x:v>Histórico / provisional</x:v>
      </x:c>
      <x:c r="N57" s="94" t="str">
        <x:v>Ver URL</x:v>
      </x:c>
      <x:c r="O57" s="54" t="str"/>
      <x:c r="P57" s="8" t="n">
        <x:v>850</x:v>
      </x:c>
      <x:c r="Q57" s="8" t="n">
        <x:f>IF(P57="","",P57/'99_Parametros'!$B$2)</x:f>
        <x:v>8.5</x:v>
      </x:c>
      <x:c r="R57" s="42" t="str">
        <x:v>Broadway/Prince → W Houston/University o Mercer → Washington Square Park.</x:v>
      </x:c>
      <x:c r="S57" s="42" t="str">
        <x:v>https://www.google.com/maps/dir/?api=1&amp;origin=Prince+Street+%26+Broadway%2C+New+York%2C+NY&amp;destination=Washington+Square+Park%2C+New+York%2C+NY&amp;travelmode=walking</x:v>
      </x:c>
      <x:c r="T57" s="42" t="str">
        <x:v>https://www.google.com/maps/dir/?api=1&amp;origin=Prince+Street+%26+Broadway%2C+New+York%2C+NY&amp;destination=Washington+Square+Park%2C+New+York%2C+NY&amp;travelmode=walking</x:v>
      </x:c>
      <x:c r="U57" s="42" t="str">
        <x:v>Auditado por trazado urbano</x:v>
      </x:c>
      <x:c r="V57" s="42" t="str">
        <x:v>Media</x:v>
      </x:c>
      <x:c r="W57" s="42" t="str">
        <x:v>10/09/2026</x:v>
      </x:c>
    </x:row>
    <x:row r="58">
      <x:c r="A58" s="45" t="str">
        <x:v>Mié 16</x:v>
      </x:c>
      <x:c r="B58" s="45" t="n">
        <x:v>14</x:v>
      </x:c>
      <x:c r="C58" s="45" t="str">
        <x:v>WASHINGTON_SQ</x:v>
      </x:c>
      <x:c r="D58" s="45" t="str">
        <x:v>GREENWICH_VILLAGE</x:v>
      </x:c>
      <x:c r="E58" s="45" t="str">
        <x:v>A pie</x:v>
      </x:c>
      <x:c r="F58" s="93" t="n">
        <x:v>800</x:v>
      </x:c>
      <x:c r="G58" s="93" t="n">
        <x:f>IF(F58="","",ROUND(F58/'99_Parametros'!$B$2,1))</x:f>
        <x:v>8</x:v>
      </x:c>
      <x:c r="H58" s="45" t="n">
        <x:v>8</x:v>
      </x:c>
      <x:c r="I58" s="45" t="str">
        <x:v>No</x:v>
      </x:c>
      <x:c r="J58" s="54" t="str">
        <x:v>neighborhoods</x:v>
      </x:c>
      <x:c r="K58" s="54" t="str">
        <x:v>walk</x:v>
      </x:c>
      <x:c r="L58" s="54" t="str">
        <x:v>No</x:v>
      </x:c>
      <x:c r="M58" s="94" t="str">
        <x:v>Histórico / provisional</x:v>
      </x:c>
      <x:c r="N58" s="94" t="str">
        <x:v>Ver URL</x:v>
      </x:c>
      <x:c r="O58" s="54" t="str"/>
      <x:c r="P58" s="8" t="n">
        <x:v>350</x:v>
      </x:c>
      <x:c r="Q58" s="8" t="n">
        <x:f>IF(P58="","",P58/'99_Parametros'!$B$2)</x:f>
        <x:v>3.5</x:v>
      </x:c>
      <x:c r="R58" s="42" t="str">
        <x:v>Washington Square → MacDougal sur → Bleecker St.</x:v>
      </x:c>
      <x:c r="S58" s="42" t="str">
        <x:v>https://www.google.com/maps/dir/?api=1&amp;origin=Washington+Square+Park%2C+New+York%2C+NY&amp;destination=Bleecker+Street+%26+MacDougal+Street%2C+New+York%2C+NY&amp;travelmode=walking</x:v>
      </x:c>
      <x:c r="T58" s="42" t="str">
        <x:v>https://www.google.com/maps/dir/?api=1&amp;origin=Washington+Square+Park%2C+New+York%2C+NY&amp;destination=Bleecker+Street+%26+MacDougal+Street%2C+New+York%2C+NY&amp;travelmode=walking</x:v>
      </x:c>
      <x:c r="U58" s="42" t="str">
        <x:v>Auditado por trazado urbano</x:v>
      </x:c>
      <x:c r="V58" s="42" t="str">
        <x:v>Media</x:v>
      </x:c>
      <x:c r="W58" s="42" t="str">
        <x:v>10/09/2026</x:v>
      </x:c>
    </x:row>
    <x:row r="59">
      <x:c r="A59" s="45" t="str">
        <x:v>Mié 16</x:v>
      </x:c>
      <x:c r="B59" s="45" t="n">
        <x:v>15</x:v>
      </x:c>
      <x:c r="C59" s="45" t="str">
        <x:v>GREENWICH_VILLAGE</x:v>
      </x:c>
      <x:c r="D59" s="45" t="str">
        <x:v>CHELSEA_BASE</x:v>
      </x:c>
      <x:c r="E59" s="45" t="str">
        <x:v>Metro + a pie</x:v>
      </x:c>
      <x:c r="F59" s="93" t="n">
        <x:v>700</x:v>
      </x:c>
      <x:c r="G59" s="93" t="n">
        <x:f>IF(F59="","",ROUND(F59/'99_Parametros'!$B$2,1))</x:f>
        <x:v>7</x:v>
      </x:c>
      <x:c r="H59" s="45" t="n">
        <x:v>7</x:v>
      </x:c>
      <x:c r="I59" s="45" t="str">
        <x:v>No</x:v>
      </x:c>
      <x:c r="J59" s="54" t="str">
        <x:v>return</x:v>
      </x:c>
      <x:c r="K59" s="54" t="str">
        <x:v>mixed</x:v>
      </x:c>
      <x:c r="L59" s="54" t="str">
        <x:v>No</x:v>
      </x:c>
      <x:c r="M59" s="94" t="str">
        <x:v>Histórico / provisional</x:v>
      </x:c>
      <x:c r="N59" s="94" t="str">
        <x:v>Ver URL</x:v>
      </x:c>
      <x:c r="O59" s="54" t="str">
        <x:v>Componente a pie aproximado; regreso en metro.</x:v>
      </x:c>
      <x:c r="P59" s="8" t="n">
        <x:v>650</x:v>
      </x:c>
      <x:c r="Q59" s="8" t="n">
        <x:f>IF(P59="","",P59/'99_Parametros'!$B$2)</x:f>
        <x:v>6.5</x:v>
      </x:c>
      <x:c r="R59" s="42" t="str">
        <x:v>Greenwich Village → estación W4/Christopher según convenga → metro → 14 St/8 Av → depto.</x:v>
      </x:c>
      <x:c r="S59" s="42" t="str">
        <x:v>https://www.google.com/maps/dir/?api=1&amp;origin=Bleecker+Street+%26+MacDougal+Street%2C+New+York%2C+NY&amp;destination=8th+Avenue+%26+West+18th+Street%2C+New+York%2C+NY&amp;travelmode=transit</x:v>
      </x:c>
      <x:c r="T59" s="42" t="str">
        <x:v>https://www.google.com/maps/dir/?api=1&amp;origin=Bleecker+Street+%26+MacDougal+Street%2C+New+York%2C+NY&amp;destination=8th+Avenue+%26+West+18th+Street%2C+New+York%2C+NY&amp;travelmode=transit</x:v>
      </x:c>
      <x:c r="U59" s="42" t="str">
        <x:v>Auditado por trazado urbano</x:v>
      </x:c>
      <x:c r="V59" s="42" t="str">
        <x:v>Media</x:v>
      </x:c>
      <x:c r="W59" s="42" t="str">
        <x:v>10/09/2026</x:v>
      </x:c>
    </x:row>
    <x:row r="60">
      <x:c r="A60" s="45" t="str">
        <x:v>Mié 16</x:v>
      </x:c>
      <x:c r="B60" s="45" t="n">
        <x:v>16</x:v>
      </x:c>
      <x:c r="C60" s="45" t="str">
        <x:v>CHELSEA_BASE</x:v>
      </x:c>
      <x:c r="D60" s="45" t="str">
        <x:v>LE_BAIN</x:v>
      </x:c>
      <x:c r="E60" s="45" t="str">
        <x:v>A pie</x:v>
      </x:c>
      <x:c r="F60" s="93" t="n">
        <x:v>1100</x:v>
      </x:c>
      <x:c r="G60" s="93" t="n">
        <x:f>IF(F60="","",ROUND(F60/'99_Parametros'!$B$2,1))</x:f>
        <x:v>11</x:v>
      </x:c>
      <x:c r="H60" s="45" t="n">
        <x:v>11</x:v>
      </x:c>
      <x:c r="I60" s="45" t="str">
        <x:v>Sí</x:v>
      </x:c>
      <x:c r="J60" s="54" t="str">
        <x:v>date_night</x:v>
      </x:c>
      <x:c r="K60" s="54" t="str">
        <x:v>walk</x:v>
      </x:c>
      <x:c r="L60" s="54" t="str">
        <x:v>No</x:v>
      </x:c>
      <x:c r="M60" s="94" t="str">
        <x:v>Histórico / provisional</x:v>
      </x:c>
      <x:c r="N60" s="94" t="str">
        <x:v>Ver URL</x:v>
      </x:c>
      <x:c r="O60" s="54" t="str">
        <x:v>Sólo vos y Jeni.</x:v>
      </x:c>
      <x:c r="P60" s="8" t="n">
        <x:v>900</x:v>
      </x:c>
      <x:c r="Q60" s="8" t="n">
        <x:f>IF(P60="","",P60/'99_Parametros'!$B$2)</x:f>
        <x:v>9</x:v>
      </x:c>
      <x:c r="R60" s="42" t="str">
        <x:v>8th Ave/W18 → Meatpacking/Washington St → Le Bain.</x:v>
      </x:c>
      <x:c r="S60" s="42" t="str">
        <x:v>https://www.google.com/maps/dir/?api=1&amp;origin=8th+Avenue+%26+West+18th+Street%2C+New+York%2C+NY&amp;destination=Le+Bain+at+The+Standard+High+Line%2C+New+York%2C+NY&amp;travelmode=walking</x:v>
      </x:c>
      <x:c r="T60" s="42" t="str">
        <x:v>https://www.google.com/maps/dir/?api=1&amp;origin=8th+Avenue+%26+West+18th+Street%2C+New+York%2C+NY&amp;destination=Le+Bain+at+The+Standard+High+Line%2C+New+York%2C+NY&amp;travelmode=walking</x:v>
      </x:c>
      <x:c r="U60" s="42" t="str">
        <x:v>Auditado por trazado urbano</x:v>
      </x:c>
      <x:c r="V60" s="42" t="str">
        <x:v>Media</x:v>
      </x:c>
      <x:c r="W60" s="42" t="str">
        <x:v>10/09/2026</x:v>
      </x:c>
    </x:row>
    <x:row r="61">
      <x:c r="A61" s="45" t="str">
        <x:v>Jue 17</x:v>
      </x:c>
      <x:c r="B61" s="45" t="n">
        <x:v>1</x:v>
      </x:c>
      <x:c r="C61" s="45" t="str">
        <x:v>CHELSEA_BASE</x:v>
      </x:c>
      <x:c r="D61" s="45" t="str">
        <x:v>HIGHLINE_W20</x:v>
      </x:c>
      <x:c r="E61" s="45" t="str">
        <x:v>A pie</x:v>
      </x:c>
      <x:c r="F61" s="93" t="n">
        <x:v>500</x:v>
      </x:c>
      <x:c r="G61" s="93" t="n">
        <x:f>IF(F61="","",ROUND(F61/'99_Parametros'!$B$2,1))</x:f>
        <x:v>5</x:v>
      </x:c>
      <x:c r="H61" s="45" t="n">
        <x:v>5</x:v>
      </x:c>
      <x:c r="I61" s="45" t="str">
        <x:v>No</x:v>
      </x:c>
      <x:c r="J61" s="54" t="str">
        <x:v>thursday</x:v>
      </x:c>
      <x:c r="K61" s="54" t="str">
        <x:v>walk</x:v>
      </x:c>
      <x:c r="L61" s="54" t="str">
        <x:v>No</x:v>
      </x:c>
      <x:c r="M61" s="94" t="str">
        <x:v>Histórico / provisional</x:v>
      </x:c>
      <x:c r="N61" s="94" t="str">
        <x:v>Ver URL</x:v>
      </x:c>
      <x:c r="O61" s="54" t="str"/>
      <x:c r="P61" s="8" t="n">
        <x:v>650</x:v>
      </x:c>
      <x:c r="Q61" s="8" t="n">
        <x:f>IF(P61="","",P61/'99_Parametros'!$B$2)</x:f>
        <x:v>6.5</x:v>
      </x:c>
      <x:c r="R61" s="42" t="str">
        <x:v>W18 oeste → 10th Ave → W20 / acceso High Line.</x:v>
      </x:c>
      <x:c r="S61" s="42" t="str">
        <x:v>https://www.google.com/maps/dir/?api=1&amp;origin=8th+Avenue+%26+West+18th+Street%2C+New+York%2C+NY&amp;destination=High+Line+West+20th+Street+entrance%2C+New+York%2C+NY&amp;travelmode=walking</x:v>
      </x:c>
      <x:c r="T61" s="42" t="str">
        <x:v>https://www.google.com/maps/dir/?api=1&amp;origin=8th+Avenue+%26+West+18th+Street%2C+New+York%2C+NY&amp;destination=High+Line+West+20th+Street+entrance%2C+New+York%2C+NY&amp;travelmode=walking</x:v>
      </x:c>
      <x:c r="U61" s="42" t="str">
        <x:v>Auditado por trazado urbano</x:v>
      </x:c>
      <x:c r="V61" s="42" t="str">
        <x:v>Media</x:v>
      </x:c>
      <x:c r="W61" s="42" t="str">
        <x:v>10/09/2026</x:v>
      </x:c>
    </x:row>
    <x:row r="62">
      <x:c r="A62" s="45" t="str">
        <x:v>Jue 17</x:v>
      </x:c>
      <x:c r="B62" s="45" t="n">
        <x:v>2</x:v>
      </x:c>
      <x:c r="C62" s="45" t="str">
        <x:v>HIGHLINE_W20</x:v>
      </x:c>
      <x:c r="D62" s="45" t="str">
        <x:v>HIGHLINE_W30</x:v>
      </x:c>
      <x:c r="E62" s="45" t="str">
        <x:v>A pie</x:v>
      </x:c>
      <x:c r="F62" s="93" t="n">
        <x:v>1600</x:v>
      </x:c>
      <x:c r="G62" s="93" t="n">
        <x:f>IF(F62="","",ROUND(F62/'99_Parametros'!$B$2,1))</x:f>
        <x:v>16</x:v>
      </x:c>
      <x:c r="H62" s="45" t="n">
        <x:v>16</x:v>
      </x:c>
      <x:c r="I62" s="45" t="str">
        <x:v>No</x:v>
      </x:c>
      <x:c r="J62" s="54" t="str">
        <x:v>highline_north</x:v>
      </x:c>
      <x:c r="K62" s="54" t="str">
        <x:v>walk</x:v>
      </x:c>
      <x:c r="L62" s="54" t="str">
        <x:v>No</x:v>
      </x:c>
      <x:c r="M62" s="94" t="str">
        <x:v>Histórico / provisional</x:v>
      </x:c>
      <x:c r="N62" s="94" t="str">
        <x:v>Ver URL</x:v>
      </x:c>
      <x:c r="O62" s="54" t="str">
        <x:v>Ruta por High Line, aproximada.</x:v>
      </x:c>
      <x:c r="P62" s="8" t="n">
        <x:v>1100</x:v>
      </x:c>
      <x:c r="Q62" s="8" t="n">
        <x:f>IF(P62="","",P62/'99_Parametros'!$B$2)</x:f>
        <x:v>11</x:v>
      </x:c>
      <x:c r="R62" s="42" t="str">
        <x:v>High Line hacia el norte desde W20 hasta W30.</x:v>
      </x:c>
      <x:c r="S62" s="42" t="str">
        <x:v>https://www.google.com/maps/dir/?api=1&amp;origin=High+Line+West+20th+Street+entrance%2C+New+York%2C+NY&amp;destination=High+Line+West+30th+Street%2C+New+York%2C+NY&amp;travelmode=walking</x:v>
      </x:c>
      <x:c r="T62" s="42" t="str">
        <x:v>https://www.google.com/maps/dir/?api=1&amp;origin=High+Line+West+20th+Street+entrance%2C+New+York%2C+NY&amp;destination=High+Line+West+30th+Street%2C+New+York%2C+NY&amp;travelmode=walking</x:v>
      </x:c>
      <x:c r="U62" s="42" t="str">
        <x:v>Auditado por trazado urbano</x:v>
      </x:c>
      <x:c r="V62" s="42" t="str">
        <x:v>Media</x:v>
      </x:c>
      <x:c r="W62" s="42" t="str">
        <x:v>10/09/2026</x:v>
      </x:c>
    </x:row>
    <x:row r="63">
      <x:c r="A63" s="45" t="str">
        <x:v>Jue 17</x:v>
      </x:c>
      <x:c r="B63" s="45" t="n">
        <x:v>3</x:v>
      </x:c>
      <x:c r="C63" s="45" t="str">
        <x:v>HIGHLINE_W30</x:v>
      </x:c>
      <x:c r="D63" s="45" t="str">
        <x:v>VESSEL</x:v>
      </x:c>
      <x:c r="E63" s="45" t="str">
        <x:v>A pie</x:v>
      </x:c>
      <x:c r="F63" s="93" t="n">
        <x:v>500</x:v>
      </x:c>
      <x:c r="G63" s="93" t="n">
        <x:f>IF(F63="","",ROUND(F63/'99_Parametros'!$B$2,1))</x:f>
        <x:v>5</x:v>
      </x:c>
      <x:c r="H63" s="45" t="n">
        <x:v>5</x:v>
      </x:c>
      <x:c r="I63" s="45" t="str">
        <x:v>No</x:v>
      </x:c>
      <x:c r="J63" s="54" t="str">
        <x:v>hudson_yards</x:v>
      </x:c>
      <x:c r="K63" s="54" t="str">
        <x:v>walk</x:v>
      </x:c>
      <x:c r="L63" s="54" t="str">
        <x:v>No</x:v>
      </x:c>
      <x:c r="M63" s="94" t="str">
        <x:v>Histórico / provisional</x:v>
      </x:c>
      <x:c r="N63" s="94" t="str">
        <x:v>Ver URL</x:v>
      </x:c>
      <x:c r="O63" s="54" t="str"/>
      <x:c r="P63" s="8" t="n">
        <x:v>450</x:v>
      </x:c>
      <x:c r="Q63" s="8" t="n">
        <x:f>IF(P63="","",P63/'99_Parametros'!$B$2)</x:f>
        <x:v>4.5</x:v>
      </x:c>
      <x:c r="R63" s="42" t="str">
        <x:v>High Line W30 → Hudson Yards plaza → Vessel.</x:v>
      </x:c>
      <x:c r="S63" s="42" t="str">
        <x:v>https://www.google.com/maps/dir/?api=1&amp;origin=High+Line+West+30th+Street%2C+New+York%2C+NY&amp;destination=Vessel+Hudson+Yards%2C+New+York%2C+NY&amp;travelmode=walking</x:v>
      </x:c>
      <x:c r="T63" s="42" t="str">
        <x:v>https://www.google.com/maps/dir/?api=1&amp;origin=High+Line+West+30th+Street%2C+New+York%2C+NY&amp;destination=Vessel+Hudson+Yards%2C+New+York%2C+NY&amp;travelmode=walking</x:v>
      </x:c>
      <x:c r="U63" s="42" t="str">
        <x:v>Auditado por trazado urbano</x:v>
      </x:c>
      <x:c r="V63" s="42" t="str">
        <x:v>Media</x:v>
      </x:c>
      <x:c r="W63" s="42" t="str">
        <x:v>10/09/2026</x:v>
      </x:c>
    </x:row>
    <x:row r="64">
      <x:c r="A64" s="45" t="str">
        <x:v>Jue 17</x:v>
      </x:c>
      <x:c r="B64" s="45" t="n">
        <x:v>4</x:v>
      </x:c>
      <x:c r="C64" s="45" t="str">
        <x:v>VESSEL</x:v>
      </x:c>
      <x:c r="D64" s="45" t="str">
        <x:v>MOYNIHAN</x:v>
      </x:c>
      <x:c r="E64" s="45" t="str">
        <x:v>A pie</x:v>
      </x:c>
      <x:c r="F64" s="93" t="n">
        <x:v>1100</x:v>
      </x:c>
      <x:c r="G64" s="93" t="n">
        <x:f>IF(F64="","",ROUND(F64/'99_Parametros'!$B$2,1))</x:f>
        <x:v>11</x:v>
      </x:c>
      <x:c r="H64" s="45" t="n">
        <x:v>11</x:v>
      </x:c>
      <x:c r="I64" s="45" t="str">
        <x:v>No</x:v>
      </x:c>
      <x:c r="J64" s="54" t="str">
        <x:v>new_midtown_walk</x:v>
      </x:c>
      <x:c r="K64" s="54" t="str">
        <x:v>walk</x:v>
      </x:c>
      <x:c r="L64" s="54" t="str">
        <x:v>Sí</x:v>
      </x:c>
      <x:c r="M64" s="94" t="str">
        <x:v>Reemplazada por auditoría</x:v>
      </x:c>
      <x:c r="N64" s="94" t="str">
        <x:v>No</x:v>
      </x:c>
      <x:c r="O64" s="54" t="str"/>
      <x:c r="P64" s="8" t="n">
        <x:v>978</x:v>
      </x:c>
      <x:c r="Q64" s="8" t="n">
        <x:f>IF(P64="","",P64/'99_Parametros'!$B$2)</x:f>
        <x:v>9.78</x:v>
      </x:c>
      <x:c r="R64" s="42" t="str">
        <x:v>Hudson Yards/Vessel → W33/W34 hacia el este → 9th/8th Ave → Moynihan.</x:v>
      </x:c>
      <x:c r="S64" s="42" t="str">
        <x:v>https://www.google.com/maps/dir/?api=1&amp;origin=Vessel+Hudson+Yards%2C+New+York%2C+NY&amp;destination=Moynihan+Train+Hall%2C+New+York%2C+NY&amp;travelmode=walking</x:v>
      </x:c>
      <x:c r="T64" s="42" t="str">
        <x:v>https://www.rome2rio.com/s/34th-Street-Hudson-Yards-Station/Moynihan-Train-Hall</x:v>
      </x:c>
      <x:c r="U64" s="42" t="str">
        <x:v>Verificado web + auditado</x:v>
      </x:c>
      <x:c r="V64" s="42" t="str">
        <x:v>Alta</x:v>
      </x:c>
      <x:c r="W64" s="42" t="str">
        <x:v>10/09/2026</x:v>
      </x:c>
    </x:row>
    <x:row r="65">
      <x:c r="A65" s="45" t="str">
        <x:v>Jue 17</x:v>
      </x:c>
      <x:c r="B65" s="45" t="n">
        <x:v>5</x:v>
      </x:c>
      <x:c r="C65" s="45" t="str">
        <x:v>MOYNIHAN</x:v>
      </x:c>
      <x:c r="D65" s="45" t="str">
        <x:v>HERALD_SQ</x:v>
      </x:c>
      <x:c r="E65" s="45" t="str">
        <x:v>A pie</x:v>
      </x:c>
      <x:c r="F65" s="93" t="n">
        <x:v>700</x:v>
      </x:c>
      <x:c r="G65" s="93" t="n">
        <x:f>IF(F65="","",ROUND(F65/'99_Parametros'!$B$2,1))</x:f>
        <x:v>7</x:v>
      </x:c>
      <x:c r="H65" s="45" t="n">
        <x:v>7</x:v>
      </x:c>
      <x:c r="I65" s="45" t="str">
        <x:v>No</x:v>
      </x:c>
      <x:c r="J65" s="54" t="str">
        <x:v>new_midtown_walk</x:v>
      </x:c>
      <x:c r="K65" s="54" t="str">
        <x:v>walk</x:v>
      </x:c>
      <x:c r="L65" s="54" t="str">
        <x:v>Sí</x:v>
      </x:c>
      <x:c r="M65" s="94" t="str">
        <x:v>Reemplazada por auditoría</x:v>
      </x:c>
      <x:c r="N65" s="94" t="str">
        <x:v>No</x:v>
      </x:c>
      <x:c r="O65" s="54" t="str"/>
      <x:c r="P65" s="8" t="n">
        <x:v>777</x:v>
      </x:c>
      <x:c r="Q65" s="8" t="n">
        <x:f>IF(P65="","",P65/'99_Parametros'!$B$2)</x:f>
        <x:v>7.77</x:v>
      </x:c>
      <x:c r="R65" s="42" t="str">
        <x:v>Moynihan → W34th St hacia el este → Broadway/Herald Square.</x:v>
      </x:c>
      <x:c r="S65" s="42" t="str">
        <x:v>https://www.google.com/maps/dir/?api=1&amp;origin=Moynihan+Train+Hall%2C+New+York%2C+NY&amp;destination=Herald+Square%2C+New+York%2C+NY&amp;travelmode=walking</x:v>
      </x:c>
      <x:c r="T65" s="42" t="str">
        <x:v>https://www.rome2rio.com/s/Moynihan-Train-Hall/Herald-Square</x:v>
      </x:c>
      <x:c r="U65" s="42" t="str">
        <x:v>Verificado web + auditado</x:v>
      </x:c>
      <x:c r="V65" s="42" t="str">
        <x:v>Alta</x:v>
      </x:c>
      <x:c r="W65" s="42" t="str">
        <x:v>10/09/2026</x:v>
      </x:c>
    </x:row>
    <x:row r="66">
      <x:c r="A66" s="45" t="str">
        <x:v>Jue 17</x:v>
      </x:c>
      <x:c r="B66" s="45" t="n">
        <x:v>6</x:v>
      </x:c>
      <x:c r="C66" s="45" t="str">
        <x:v>HERALD_SQ</x:v>
      </x:c>
      <x:c r="D66" s="45" t="str">
        <x:v>MACYS</x:v>
      </x:c>
      <x:c r="E66" s="45" t="str">
        <x:v>A pie</x:v>
      </x:c>
      <x:c r="F66" s="93" t="n">
        <x:v>100</x:v>
      </x:c>
      <x:c r="G66" s="93" t="n">
        <x:f>IF(F66="","",ROUND(F66/'99_Parametros'!$B$2,1))</x:f>
        <x:v>1</x:v>
      </x:c>
      <x:c r="H66" s="45" t="n">
        <x:v>1</x:v>
      </x:c>
      <x:c r="I66" s="45" t="str">
        <x:v>Sí</x:v>
      </x:c>
      <x:c r="J66" s="54" t="str">
        <x:v>new_midtown_walk</x:v>
      </x:c>
      <x:c r="K66" s="54" t="str">
        <x:v>walk</x:v>
      </x:c>
      <x:c r="L66" s="54" t="str">
        <x:v>Sí</x:v>
      </x:c>
      <x:c r="M66" s="94" t="str">
        <x:v>Histórico / provisional</x:v>
      </x:c>
      <x:c r="N66" s="94" t="str">
        <x:v>Ver URL</x:v>
      </x:c>
      <x:c r="O66" s="54" t="str">
        <x:v>Macy's es opcional.</x:v>
      </x:c>
      <x:c r="P66" s="8" t="n">
        <x:v>100</x:v>
      </x:c>
      <x:c r="Q66" s="8" t="n">
        <x:f>IF(P66="","",P66/'99_Parametros'!$B$2)</x:f>
        <x:v>1</x:v>
      </x:c>
      <x:c r="R66" s="42" t="str">
        <x:v>Herald Square → Macy's (misma zona).</x:v>
      </x:c>
      <x:c r="S66" s="42" t="str">
        <x:v>https://www.google.com/maps/dir/?api=1&amp;origin=Herald+Square%2C+New+York%2C+NY&amp;destination=Macy%27s+Herald+Square%2C+New+York%2C+NY&amp;travelmode=walking</x:v>
      </x:c>
      <x:c r="T66" s="42" t="str">
        <x:v>https://www.google.com/maps/dir/?api=1&amp;origin=Herald+Square%2C+New+York%2C+NY&amp;destination=Macy%27s+Herald+Square%2C+New+York%2C+NY&amp;travelmode=walking</x:v>
      </x:c>
      <x:c r="U66" s="42" t="str">
        <x:v>Auditado por trazado urbano</x:v>
      </x:c>
      <x:c r="V66" s="42" t="str">
        <x:v>Media-alta</x:v>
      </x:c>
      <x:c r="W66" s="42" t="str">
        <x:v>10/09/2026</x:v>
      </x:c>
    </x:row>
    <x:row r="67">
      <x:c r="A67" s="45" t="str">
        <x:v>Jue 17</x:v>
      </x:c>
      <x:c r="B67" s="45" t="n">
        <x:v>7</x:v>
      </x:c>
      <x:c r="C67" s="45" t="str">
        <x:v>HERALD_SQ</x:v>
      </x:c>
      <x:c r="D67" s="45" t="str">
        <x:v>EMPIRE</x:v>
      </x:c>
      <x:c r="E67" s="45" t="str">
        <x:v>A pie</x:v>
      </x:c>
      <x:c r="F67" s="93" t="n">
        <x:v>450</x:v>
      </x:c>
      <x:c r="G67" s="93" t="n">
        <x:f>IF(F67="","",ROUND(F67/'99_Parametros'!$B$2,1))</x:f>
        <x:v>4.5</x:v>
      </x:c>
      <x:c r="H67" s="45" t="n">
        <x:v>5</x:v>
      </x:c>
      <x:c r="I67" s="45" t="str">
        <x:v>No</x:v>
      </x:c>
      <x:c r="J67" s="54" t="str">
        <x:v>new_midtown_walk</x:v>
      </x:c>
      <x:c r="K67" s="54" t="str">
        <x:v>walk</x:v>
      </x:c>
      <x:c r="L67" s="54" t="str">
        <x:v>Sí</x:v>
      </x:c>
      <x:c r="M67" s="94" t="str">
        <x:v>Reemplazada por auditoría</x:v>
      </x:c>
      <x:c r="N67" s="94" t="str">
        <x:v>No</x:v>
      </x:c>
      <x:c r="O67" s="54" t="str"/>
      <x:c r="P67" s="8" t="n">
        <x:v>271</x:v>
      </x:c>
      <x:c r="Q67" s="8" t="n">
        <x:f>IF(P67="","",P67/'99_Parametros'!$B$2)</x:f>
        <x:v>2.71</x:v>
      </x:c>
      <x:c r="R67" s="42" t="str">
        <x:v>Herald Square → E34th/5th Ave → Empire State exterior. Si entran a Macy's, retoman desde la misma zona.</x:v>
      </x:c>
      <x:c r="S67" s="42" t="str">
        <x:v>https://www.google.com/maps/dir/?api=1&amp;origin=Herald+Square%2C+New+York%2C+NY&amp;destination=Empire+State+Building%2C+New+York%2C+NY&amp;travelmode=walking</x:v>
      </x:c>
      <x:c r="T67" s="42" t="str">
        <x:v>https://www.rome2rio.com/s/Herald-Square/Empire-State-Building</x:v>
      </x:c>
      <x:c r="U67" s="42" t="str">
        <x:v>Verificado web + auditado</x:v>
      </x:c>
      <x:c r="V67" s="42" t="str">
        <x:v>Alta</x:v>
      </x:c>
      <x:c r="W67" s="42" t="str">
        <x:v>10/09/2026</x:v>
      </x:c>
    </x:row>
    <x:row r="68">
      <x:c r="A68" s="45" t="str">
        <x:v>Jue 17</x:v>
      </x:c>
      <x:c r="B68" s="45" t="n">
        <x:v>8</x:v>
      </x:c>
      <x:c r="C68" s="45" t="str">
        <x:v>EMPIRE</x:v>
      </x:c>
      <x:c r="D68" s="45" t="str">
        <x:v>BRYANT_PARK</x:v>
      </x:c>
      <x:c r="E68" s="45" t="str">
        <x:v>A pie</x:v>
      </x:c>
      <x:c r="F68" s="93" t="n">
        <x:v>900</x:v>
      </x:c>
      <x:c r="G68" s="93" t="n">
        <x:f>IF(F68="","",ROUND(F68/'99_Parametros'!$B$2,1))</x:f>
        <x:v>9</x:v>
      </x:c>
      <x:c r="H68" s="45" t="n">
        <x:v>9</x:v>
      </x:c>
      <x:c r="I68" s="45" t="str">
        <x:v>No</x:v>
      </x:c>
      <x:c r="J68" s="54" t="str">
        <x:v>new_midtown_walk</x:v>
      </x:c>
      <x:c r="K68" s="54" t="str">
        <x:v>walk</x:v>
      </x:c>
      <x:c r="L68" s="54" t="str">
        <x:v>Sí</x:v>
      </x:c>
      <x:c r="M68" s="94" t="str">
        <x:v>Reemplazada por auditoría</x:v>
      </x:c>
      <x:c r="N68" s="94" t="str">
        <x:v>No</x:v>
      </x:c>
      <x:c r="O68" s="54" t="str"/>
      <x:c r="P68" s="8" t="n">
        <x:v>832</x:v>
      </x:c>
      <x:c r="Q68" s="8" t="n">
        <x:f>IF(P68="","",P68/'99_Parametros'!$B$2)</x:f>
        <x:v>8.32</x:v>
      </x:c>
      <x:c r="R68" s="42" t="str">
        <x:v>5th Ave norte desde 34th → W40/W42 → Bryant Park.</x:v>
      </x:c>
      <x:c r="S68" s="42" t="str">
        <x:v>https://www.google.com/maps/dir/?api=1&amp;origin=Empire+State+Building%2C+New+York%2C+NY&amp;destination=Bryant+Park%2C+New+York%2C+NY&amp;travelmode=walking</x:v>
      </x:c>
      <x:c r="T68" s="42" t="str">
        <x:v>https://www.rome2rio.com/s/Empire-State-Building/Bryant-Park</x:v>
      </x:c>
      <x:c r="U68" s="42" t="str">
        <x:v>Verificado web + auditado</x:v>
      </x:c>
      <x:c r="V68" s="42" t="str">
        <x:v>Alta</x:v>
      </x:c>
      <x:c r="W68" s="42" t="str">
        <x:v>10/09/2026</x:v>
      </x:c>
    </x:row>
    <x:row r="69">
      <x:c r="A69" s="45" t="str">
        <x:v>Jue 17</x:v>
      </x:c>
      <x:c r="B69" s="45" t="n">
        <x:v>9</x:v>
      </x:c>
      <x:c r="C69" s="45" t="str">
        <x:v>BRYANT_PARK</x:v>
      </x:c>
      <x:c r="D69" s="45" t="str">
        <x:v>NYPL_MAIN</x:v>
      </x:c>
      <x:c r="E69" s="45" t="str">
        <x:v>A pie</x:v>
      </x:c>
      <x:c r="F69" s="93" t="n">
        <x:v>200</x:v>
      </x:c>
      <x:c r="G69" s="93" t="n">
        <x:f>IF(F69="","",ROUND(F69/'99_Parametros'!$B$2,1))</x:f>
        <x:v>2</x:v>
      </x:c>
      <x:c r="H69" s="45" t="n">
        <x:v>2</x:v>
      </x:c>
      <x:c r="I69" s="45" t="str">
        <x:v>No</x:v>
      </x:c>
      <x:c r="J69" s="54" t="str">
        <x:v>library</x:v>
      </x:c>
      <x:c r="K69" s="54" t="str">
        <x:v>walk</x:v>
      </x:c>
      <x:c r="L69" s="54" t="str">
        <x:v>No</x:v>
      </x:c>
      <x:c r="M69" s="94" t="str">
        <x:v>Reemplazada por auditoría</x:v>
      </x:c>
      <x:c r="N69" s="94" t="str">
        <x:v>No</x:v>
      </x:c>
      <x:c r="O69" s="54" t="str"/>
      <x:c r="P69" s="8" t="n">
        <x:v>357</x:v>
      </x:c>
      <x:c r="Q69" s="8" t="n">
        <x:f>IF(P69="","",P69/'99_Parametros'!$B$2)</x:f>
        <x:v>3.57</x:v>
      </x:c>
      <x:c r="R69" s="42" t="str">
        <x:v>Bryant Park → borde este/5th Ave → entrada NYPL Schwarzman.</x:v>
      </x:c>
      <x:c r="S69" s="42" t="str">
        <x:v>https://www.google.com/maps/dir/?api=1&amp;origin=Bryant+Park%2C+New+York%2C+NY&amp;destination=New+York+Public+Library+Stephen+A.+Schwarzman+Building%2C+New+York%2C+NY&amp;travelmode=walking</x:v>
      </x:c>
      <x:c r="T69" s="42" t="str">
        <x:v>https://www.rome2rio.com/s/Bryant-Park/New-York-Public-Library</x:v>
      </x:c>
      <x:c r="U69" s="42" t="str">
        <x:v>Verificado web + auditado</x:v>
      </x:c>
      <x:c r="V69" s="42" t="str">
        <x:v>Alta</x:v>
      </x:c>
      <x:c r="W69" s="42" t="str">
        <x:v>10/09/2026</x:v>
      </x:c>
    </x:row>
    <x:row r="70">
      <x:c r="A70" s="45" t="str">
        <x:v>Jue 17</x:v>
      </x:c>
      <x:c r="B70" s="45" t="n">
        <x:v>10</x:v>
      </x:c>
      <x:c r="C70" s="45" t="str">
        <x:v>NYPL_MAIN</x:v>
      </x:c>
      <x:c r="D70" s="45" t="str">
        <x:v>SNFL</x:v>
      </x:c>
      <x:c r="E70" s="45" t="str">
        <x:v>A pie</x:v>
      </x:c>
      <x:c r="F70" s="93" t="n">
        <x:v>100</x:v>
      </x:c>
      <x:c r="G70" s="93" t="n">
        <x:f>IF(F70="","",ROUND(F70/'99_Parametros'!$B$2,1))</x:f>
        <x:v>1</x:v>
      </x:c>
      <x:c r="H70" s="45" t="n">
        <x:v>1</x:v>
      </x:c>
      <x:c r="I70" s="45" t="str">
        <x:v>Sí</x:v>
      </x:c>
      <x:c r="J70" s="54" t="str">
        <x:v>library</x:v>
      </x:c>
      <x:c r="K70" s="54" t="str">
        <x:v>walk</x:v>
      </x:c>
      <x:c r="L70" s="54" t="str">
        <x:v>Sí</x:v>
      </x:c>
      <x:c r="M70" s="94" t="str">
        <x:v>Histórico / provisional</x:v>
      </x:c>
      <x:c r="N70" s="94" t="str">
        <x:v>Ver URL</x:v>
      </x:c>
      <x:c r="O70" s="54" t="str">
        <x:v>Opcional.</x:v>
      </x:c>
      <x:c r="P70" s="8" t="n">
        <x:v>160</x:v>
      </x:c>
      <x:c r="Q70" s="8" t="n">
        <x:f>IF(P70="","",P70/'99_Parametros'!$B$2)</x:f>
        <x:v>1.6</x:v>
      </x:c>
      <x:c r="R70" s="42" t="str">
        <x:v>NYPL 42nd/5th → 5th Ave sur a 40th → SNFL.</x:v>
      </x:c>
      <x:c r="S70" s="42" t="str">
        <x:v>https://www.google.com/maps/dir/?api=1&amp;origin=New+York+Public+Library+Stephen+A.+Schwarzman+Building%2C+New+York%2C+NY&amp;destination=Stavros+Niarchos+Foundation+Library%2C+New+York%2C+NY&amp;travelmode=walking</x:v>
      </x:c>
      <x:c r="T70" s="42" t="str">
        <x:v>https://www.google.com/maps/dir/?api=1&amp;origin=New+York+Public+Library+Stephen+A.+Schwarzman+Building%2C+New+York%2C+NY&amp;destination=Stavros+Niarchos+Foundation+Library%2C+New+York%2C+NY&amp;travelmode=walking</x:v>
      </x:c>
      <x:c r="U70" s="42" t="str">
        <x:v>Auditado por trazado urbano</x:v>
      </x:c>
      <x:c r="V70" s="42" t="str">
        <x:v>Media-alta</x:v>
      </x:c>
      <x:c r="W70" s="42" t="str">
        <x:v>10/09/2026</x:v>
      </x:c>
    </x:row>
    <x:row r="71">
      <x:c r="A71" s="45" t="str">
        <x:v>Jue 17</x:v>
      </x:c>
      <x:c r="B71" s="45" t="n">
        <x:v>11</x:v>
      </x:c>
      <x:c r="C71" s="45" t="str">
        <x:v>SNFL</x:v>
      </x:c>
      <x:c r="D71" s="45" t="str">
        <x:v>GRAND_CENTRAL</x:v>
      </x:c>
      <x:c r="E71" s="45" t="str">
        <x:v>A pie</x:v>
      </x:c>
      <x:c r="F71" s="93" t="n">
        <x:v>700</x:v>
      </x:c>
      <x:c r="G71" s="93" t="n">
        <x:f>IF(F71="","",ROUND(F71/'99_Parametros'!$B$2,1))</x:f>
        <x:v>7</x:v>
      </x:c>
      <x:c r="H71" s="45" t="n">
        <x:v>7</x:v>
      </x:c>
      <x:c r="I71" s="45" t="str">
        <x:v>Sí</x:v>
      </x:c>
      <x:c r="J71" s="54" t="str">
        <x:v>grand_central</x:v>
      </x:c>
      <x:c r="K71" s="54" t="str">
        <x:v>walk</x:v>
      </x:c>
      <x:c r="L71" s="54" t="str">
        <x:v>No</x:v>
      </x:c>
      <x:c r="M71" s="94" t="str">
        <x:v>Histórico / provisional</x:v>
      </x:c>
      <x:c r="N71" s="94" t="str">
        <x:v>Ver URL</x:v>
      </x:c>
      <x:c r="O71" s="54" t="str"/>
      <x:c r="P71" s="8" t="n">
        <x:v>600</x:v>
      </x:c>
      <x:c r="Q71" s="8" t="n">
        <x:f>IF(P71="","",P71/'99_Parametros'!$B$2)</x:f>
        <x:v>6</x:v>
      </x:c>
      <x:c r="R71" s="42" t="str">
        <x:v>SNFL → 42nd St → este hacia Park Ave → Grand Central.</x:v>
      </x:c>
      <x:c r="S71" s="42" t="str">
        <x:v>https://www.google.com/maps/dir/?api=1&amp;origin=Stavros+Niarchos+Foundation+Library%2C+New+York%2C+NY&amp;destination=Grand+Central+Terminal%2C+New+York%2C+NY&amp;travelmode=walking</x:v>
      </x:c>
      <x:c r="T71" s="42" t="str">
        <x:v>https://www.google.com/maps/dir/?api=1&amp;origin=Stavros+Niarchos+Foundation+Library%2C+New+York%2C+NY&amp;destination=Grand+Central+Terminal%2C+New+York%2C+NY&amp;travelmode=walking</x:v>
      </x:c>
      <x:c r="U71" s="42" t="str">
        <x:v>Auditado por trazado urbano</x:v>
      </x:c>
      <x:c r="V71" s="42" t="str">
        <x:v>Media</x:v>
      </x:c>
      <x:c r="W71" s="42" t="str">
        <x:v>10/09/2026</x:v>
      </x:c>
    </x:row>
    <x:row r="72">
      <x:c r="A72" s="45" t="str">
        <x:v>Jue 17</x:v>
      </x:c>
      <x:c r="B72" s="45" t="n">
        <x:v>12</x:v>
      </x:c>
      <x:c r="C72" s="45" t="str">
        <x:v>GRAND_CENTRAL</x:v>
      </x:c>
      <x:c r="D72" s="45" t="str">
        <x:v>CHRYSLER</x:v>
      </x:c>
      <x:c r="E72" s="45" t="str">
        <x:v>A pie</x:v>
      </x:c>
      <x:c r="F72" s="93" t="n">
        <x:v>250</x:v>
      </x:c>
      <x:c r="G72" s="93" t="n">
        <x:f>IF(F72="","",ROUND(F72/'99_Parametros'!$B$2,1))</x:f>
        <x:v>2.5</x:v>
      </x:c>
      <x:c r="H72" s="45" t="n">
        <x:v>3</x:v>
      </x:c>
      <x:c r="I72" s="45" t="str">
        <x:v>Sí</x:v>
      </x:c>
      <x:c r="J72" s="54" t="str">
        <x:v>grand_central</x:v>
      </x:c>
      <x:c r="K72" s="54" t="str">
        <x:v>walk</x:v>
      </x:c>
      <x:c r="L72" s="54" t="str">
        <x:v>No</x:v>
      </x:c>
      <x:c r="M72" s="94" t="str">
        <x:v>Reemplazada por auditoría</x:v>
      </x:c>
      <x:c r="N72" s="94" t="str">
        <x:v>No</x:v>
      </x:c>
      <x:c r="O72" s="54" t="str">
        <x:v>Sólo exterior y sin desvío largo.</x:v>
      </x:c>
      <x:c r="P72" s="8" t="n">
        <x:v>207</x:v>
      </x:c>
      <x:c r="Q72" s="8" t="n">
        <x:f>IF(P72="","",P72/'99_Parametros'!$B$2)</x:f>
        <x:v>2.07</x:v>
      </x:c>
      <x:c r="R72" s="42" t="str">
        <x:v>Grand Central → E42nd / Lexington → Chrysler exterior.</x:v>
      </x:c>
      <x:c r="S72" s="42" t="str">
        <x:v>https://www.google.com/maps/dir/?api=1&amp;origin=Grand+Central+Terminal%2C+New+York%2C+NY&amp;destination=Chrysler+Building%2C+New+York%2C+NY&amp;travelmode=walking</x:v>
      </x:c>
      <x:c r="T72" s="42" t="str">
        <x:v>https://www.rome2rio.com/s/Grand-Central-Terminal/Chrysler-Building</x:v>
      </x:c>
      <x:c r="U72" s="42" t="str">
        <x:v>Verificado web + auditado</x:v>
      </x:c>
      <x:c r="V72" s="42" t="str">
        <x:v>Alta</x:v>
      </x:c>
      <x:c r="W72" s="42" t="str">
        <x:v>10/09/2026</x:v>
      </x:c>
    </x:row>
    <x:row r="73">
      <x:c r="A73" s="45" t="str">
        <x:v>Jue 17</x:v>
      </x:c>
      <x:c r="B73" s="45" t="n">
        <x:v>13</x:v>
      </x:c>
      <x:c r="C73" s="45" t="str">
        <x:v>GRAND_CENTRAL</x:v>
      </x:c>
      <x:c r="D73" s="45" t="str">
        <x:v>TUDOR_BRIDGE</x:v>
      </x:c>
      <x:c r="E73" s="45" t="str">
        <x:v>A pie</x:v>
      </x:c>
      <x:c r="F73" s="93" t="n">
        <x:v>750</x:v>
      </x:c>
      <x:c r="G73" s="93" t="n">
        <x:f>IF(F73="","",ROUND(F73/'99_Parametros'!$B$2,1))</x:f>
        <x:v>7.5</x:v>
      </x:c>
      <x:c r="H73" s="45" t="n">
        <x:v>8</x:v>
      </x:c>
      <x:c r="I73" s="45" t="str">
        <x:v>Sí</x:v>
      </x:c>
      <x:c r="J73" s="54" t="str">
        <x:v>bonus</x:v>
      </x:c>
      <x:c r="K73" s="54" t="str">
        <x:v>walk</x:v>
      </x:c>
      <x:c r="L73" s="54" t="str">
        <x:v>Sí</x:v>
      </x:c>
      <x:c r="M73" s="94" t="str">
        <x:v>Histórico / provisional</x:v>
      </x:c>
      <x:c r="N73" s="94" t="str">
        <x:v>Ver URL</x:v>
      </x:c>
      <x:c r="O73" s="54" t="str">
        <x:v>Bonus; ida. Sólo si &gt;40 min adelantados.</x:v>
      </x:c>
      <x:c r="P73" s="8" t="n">
        <x:v>700</x:v>
      </x:c>
      <x:c r="Q73" s="8" t="n">
        <x:f>IF(P73="","",P73/'99_Parametros'!$B$2)</x:f>
        <x:v>7</x:v>
      </x:c>
      <x:c r="R73" s="42" t="str">
        <x:v>Grand Central → E42nd hacia el este → Tudor City Place/overpass.</x:v>
      </x:c>
      <x:c r="S73" s="42" t="str">
        <x:v>https://www.google.com/maps/dir/?api=1&amp;origin=Grand+Central+Terminal%2C+New+York%2C+NY&amp;destination=Tudor+City+Bridge+East+42nd+Street%2C+New+York%2C+NY&amp;travelmode=walking</x:v>
      </x:c>
      <x:c r="T73" s="42" t="str">
        <x:v>https://www.google.com/maps/dir/?api=1&amp;origin=Grand+Central+Terminal%2C+New+York%2C+NY&amp;destination=Tudor+City+Bridge+East+42nd+Street%2C+New+York%2C+NY&amp;travelmode=walking</x:v>
      </x:c>
      <x:c r="U73" s="42" t="str">
        <x:v>Auditado por trazado urbano</x:v>
      </x:c>
      <x:c r="V73" s="42" t="str">
        <x:v>Media</x:v>
      </x:c>
      <x:c r="W73" s="42" t="str">
        <x:v>10/09/2026</x:v>
      </x:c>
    </x:row>
    <x:row r="74">
      <x:c r="A74" s="45" t="str">
        <x:v>Jue 17</x:v>
      </x:c>
      <x:c r="B74" s="45" t="n">
        <x:v>14</x:v>
      </x:c>
      <x:c r="C74" s="45" t="str">
        <x:v>TUDOR_BRIDGE</x:v>
      </x:c>
      <x:c r="D74" s="45" t="str">
        <x:v>GRAND_CENTRAL</x:v>
      </x:c>
      <x:c r="E74" s="45" t="str">
        <x:v>A pie</x:v>
      </x:c>
      <x:c r="F74" s="93" t="n">
        <x:v>750</x:v>
      </x:c>
      <x:c r="G74" s="93" t="n">
        <x:f>IF(F74="","",ROUND(F74/'99_Parametros'!$B$2,1))</x:f>
        <x:v>7.5</x:v>
      </x:c>
      <x:c r="H74" s="45" t="n">
        <x:v>8</x:v>
      </x:c>
      <x:c r="I74" s="45" t="str">
        <x:v>Sí</x:v>
      </x:c>
      <x:c r="J74" s="54" t="str">
        <x:v>bonus</x:v>
      </x:c>
      <x:c r="K74" s="54" t="str">
        <x:v>walk</x:v>
      </x:c>
      <x:c r="L74" s="54" t="str">
        <x:v>Sí</x:v>
      </x:c>
      <x:c r="M74" s="94" t="str">
        <x:v>Histórico / provisional</x:v>
      </x:c>
      <x:c r="N74" s="94" t="str">
        <x:v>Ver URL</x:v>
      </x:c>
      <x:c r="O74" s="54" t="str">
        <x:v>Bonus; vuelta.</x:v>
      </x:c>
      <x:c r="P74" s="8" t="n">
        <x:v>700</x:v>
      </x:c>
      <x:c r="Q74" s="8" t="n">
        <x:f>IF(P74="","",P74/'99_Parametros'!$B$2)</x:f>
        <x:v>7</x:v>
      </x:c>
      <x:c r="R74" s="42" t="str">
        <x:v>Tudor City → E42nd oeste → Grand Central.</x:v>
      </x:c>
      <x:c r="S74" s="42" t="str">
        <x:v>https://www.google.com/maps/dir/?api=1&amp;origin=Tudor+City+Bridge+East+42nd+Street%2C+New+York%2C+NY&amp;destination=Grand+Central+Terminal%2C+New+York%2C+NY&amp;travelmode=walking</x:v>
      </x:c>
      <x:c r="T74" s="42" t="str">
        <x:v>https://www.google.com/maps/dir/?api=1&amp;origin=Tudor+City+Bridge+East+42nd+Street%2C+New+York%2C+NY&amp;destination=Grand+Central+Terminal%2C+New+York%2C+NY&amp;travelmode=walking</x:v>
      </x:c>
      <x:c r="U74" s="42" t="str">
        <x:v>Auditado por trazado urbano</x:v>
      </x:c>
      <x:c r="V74" s="42" t="str">
        <x:v>Media</x:v>
      </x:c>
      <x:c r="W74" s="42" t="str">
        <x:v>10/09/2026</x:v>
      </x:c>
    </x:row>
    <x:row r="75">
      <x:c r="A75" s="45" t="str">
        <x:v>Jue 17</x:v>
      </x:c>
      <x:c r="B75" s="45" t="n">
        <x:v>15</x:v>
      </x:c>
      <x:c r="C75" s="45" t="str">
        <x:v>GRAND_CENTRAL</x:v>
      </x:c>
      <x:c r="D75" s="45" t="str">
        <x:v>SUMMIT</x:v>
      </x:c>
      <x:c r="E75" s="45" t="str">
        <x:v>A pie</x:v>
      </x:c>
      <x:c r="F75" s="93" t="n">
        <x:v>200</x:v>
      </x:c>
      <x:c r="G75" s="93" t="n">
        <x:f>IF(F75="","",ROUND(F75/'99_Parametros'!$B$2,1))</x:f>
        <x:v>2</x:v>
      </x:c>
      <x:c r="H75" s="45" t="n">
        <x:v>2</x:v>
      </x:c>
      <x:c r="I75" s="45" t="str">
        <x:v>No</x:v>
      </x:c>
      <x:c r="J75" s="54" t="str">
        <x:v>summit</x:v>
      </x:c>
      <x:c r="K75" s="54" t="str">
        <x:v>walk</x:v>
      </x:c>
      <x:c r="L75" s="54" t="str">
        <x:v>No</x:v>
      </x:c>
      <x:c r="M75" s="94" t="str">
        <x:v>Histórico / provisional</x:v>
      </x:c>
      <x:c r="N75" s="94" t="str">
        <x:v>Ver URL</x:v>
      </x:c>
      <x:c r="O75" s="54" t="str"/>
      <x:c r="P75" s="8" t="n">
        <x:v>122</x:v>
      </x:c>
      <x:c r="Q75" s="8" t="n">
        <x:f>IF(P75="","",P75/'99_Parametros'!$B$2)</x:f>
        <x:v>1.22</x:v>
      </x:c>
      <x:c r="R75" s="42" t="str">
        <x:v>Grand Central → Vanderbilt Ave/42nd → One Vanderbilt/SUMMIT.</x:v>
      </x:c>
      <x:c r="S75" s="42" t="str">
        <x:v>https://www.google.com/maps/dir/?api=1&amp;origin=Grand+Central+Terminal%2C+New+York%2C+NY&amp;destination=SUMMIT+One+Vanderbilt%2C+New+York%2C+NY&amp;travelmode=walking</x:v>
      </x:c>
      <x:c r="T75" s="42" t="str">
        <x:v>https://www.google.com/maps/dir/?api=1&amp;origin=Grand+Central+Terminal%2C+New+York%2C+NY&amp;destination=SUMMIT+One+Vanderbilt%2C+New+York%2C+NY&amp;travelmode=walking</x:v>
      </x:c>
      <x:c r="U75" s="42" t="str">
        <x:v>Auditado por trazado urbano</x:v>
      </x:c>
      <x:c r="V75" s="42" t="str">
        <x:v>Media-alta</x:v>
      </x:c>
      <x:c r="W75" s="42" t="str">
        <x:v>10/09/2026</x:v>
      </x:c>
    </x:row>
    <x:row r="76">
      <x:c r="A76" s="45" t="str">
        <x:v>Jue 17</x:v>
      </x:c>
      <x:c r="B76" s="45" t="n">
        <x:v>16</x:v>
      </x:c>
      <x:c r="C76" s="45" t="str">
        <x:v>SUMMIT</x:v>
      </x:c>
      <x:c r="D76" s="45" t="str">
        <x:v>CHELSEA_BASE</x:v>
      </x:c>
      <x:c r="E76" s="45" t="str">
        <x:v>Metro + a pie</x:v>
      </x:c>
      <x:c r="F76" s="93" t="n">
        <x:v>500</x:v>
      </x:c>
      <x:c r="G76" s="93" t="n">
        <x:f>IF(F76="","",ROUND(F76/'99_Parametros'!$B$2,1))</x:f>
        <x:v>5</x:v>
      </x:c>
      <x:c r="H76" s="45" t="n">
        <x:v>5</x:v>
      </x:c>
      <x:c r="I76" s="45" t="str">
        <x:v>No</x:v>
      </x:c>
      <x:c r="J76" s="54" t="str">
        <x:v>return</x:v>
      </x:c>
      <x:c r="K76" s="54" t="str">
        <x:v>mixed</x:v>
      </x:c>
      <x:c r="L76" s="54" t="str">
        <x:v>No</x:v>
      </x:c>
      <x:c r="M76" s="94" t="str">
        <x:v>Histórico / provisional</x:v>
      </x:c>
      <x:c r="N76" s="94" t="str">
        <x:v>Ver URL</x:v>
      </x:c>
      <x:c r="O76" s="54" t="str">
        <x:v>Componente a pie aproximado; resto en metro.</x:v>
      </x:c>
      <x:c r="P76" s="8" t="n">
        <x:v>450</x:v>
      </x:c>
      <x:c r="Q76" s="8" t="n">
        <x:f>IF(P76="","",P76/'99_Parametros'!$B$2)</x:f>
        <x:v>4.5</x:v>
      </x:c>
      <x:c r="R76" s="42" t="str">
        <x:v>SUMMIT/Grand Central → metro hacia Chelsea → caminar al depto.</x:v>
      </x:c>
      <x:c r="S76" s="42" t="str">
        <x:v>https://www.google.com/maps/dir/?api=1&amp;origin=SUMMIT+One+Vanderbilt%2C+New+York%2C+NY&amp;destination=8th+Avenue+%26+West+18th+Street%2C+New+York%2C+NY&amp;travelmode=transit</x:v>
      </x:c>
      <x:c r="T76" s="42" t="str">
        <x:v>https://www.google.com/maps/dir/?api=1&amp;origin=SUMMIT+One+Vanderbilt%2C+New+York%2C+NY&amp;destination=8th+Avenue+%26+West+18th+Street%2C+New+York%2C+NY&amp;travelmode=transit</x:v>
      </x:c>
      <x:c r="U76" s="42" t="str">
        <x:v>Auditado por trazado urbano</x:v>
      </x:c>
      <x:c r="V76" s="42" t="str">
        <x:v>Media</x:v>
      </x:c>
      <x:c r="W76" s="42" t="str">
        <x:v>10/09/2026</x:v>
      </x:c>
    </x:row>
    <x:row r="77">
      <x:c r="A77" s="45" t="str">
        <x:v>Vie 18</x:v>
      </x:c>
      <x:c r="B77" s="45" t="n">
        <x:v>1</x:v>
      </x:c>
      <x:c r="C77" s="45" t="str">
        <x:v>CHELSEA_BASE</x:v>
      </x:c>
      <x:c r="D77" s="45" t="str">
        <x:v>STATION_14_8</x:v>
      </x:c>
      <x:c r="E77" s="45" t="str">
        <x:v>A pie</x:v>
      </x:c>
      <x:c r="F77" s="93" t="n">
        <x:v>450</x:v>
      </x:c>
      <x:c r="G77" s="93" t="n">
        <x:f>IF(F77="","",ROUND(F77/'99_Parametros'!$B$2,1))</x:f>
        <x:v>4.5</x:v>
      </x:c>
      <x:c r="H77" s="45" t="n">
        <x:v>5</x:v>
      </x:c>
      <x:c r="I77" s="45" t="str">
        <x:v>No</x:v>
      </x:c>
      <x:c r="J77" s="54" t="str">
        <x:v>airport_return</x:v>
      </x:c>
      <x:c r="K77" s="54" t="str">
        <x:v>walk</x:v>
      </x:c>
      <x:c r="L77" s="54" t="str">
        <x:v>No</x:v>
      </x:c>
      <x:c r="M77" s="94" t="str">
        <x:v>Histórico / provisional</x:v>
      </x:c>
      <x:c r="N77" s="94" t="str">
        <x:v>Ver URL</x:v>
      </x:c>
      <x:c r="O77" s="54" t="str"/>
      <x:c r="P77" s="8" t="n">
        <x:v>350</x:v>
      </x:c>
      <x:c r="Q77" s="8" t="n">
        <x:f>IF(P77="","",P77/'99_Parametros'!$B$2)</x:f>
        <x:v>3.5</x:v>
      </x:c>
      <x:c r="R77" s="42" t="str">
        <x:v>8th Ave sur hasta 14 St–8 Av con equipaje.</x:v>
      </x:c>
      <x:c r="S77" s="42" t="str">
        <x:v>https://www.google.com/maps/dir/?api=1&amp;origin=8th+Avenue+%26+West+18th+Street%2C+New+York%2C+NY&amp;destination=14+St%E2%80%938+Av+Subway+Station%2C+New+York%2C+NY&amp;travelmode=walking</x:v>
      </x:c>
      <x:c r="T77" s="42" t="str">
        <x:v>https://www.google.com/maps/dir/?api=1&amp;origin=8th+Avenue+%26+West+18th+Street%2C+New+York%2C+NY&amp;destination=14+St%E2%80%938+Av+Subway+Station%2C+New+York%2C+NY&amp;travelmode=walking</x:v>
      </x:c>
      <x:c r="U77" s="42" t="str">
        <x:v>Auditado por trazado urbano</x:v>
      </x:c>
      <x:c r="V77" s="42" t="str">
        <x:v>Media</x:v>
      </x:c>
      <x:c r="W77" s="42" t="str">
        <x:v>10/09/2026</x:v>
      </x:c>
    </x:row>
    <x:row r="78">
      <x:c r="A78" s="45" t="str">
        <x:v>Vie 18</x:v>
      </x:c>
      <x:c r="B78" s="45" t="n">
        <x:v>2</x:v>
      </x:c>
      <x:c r="C78" s="45" t="str">
        <x:v>STATION_14_8</x:v>
      </x:c>
      <x:c r="D78" s="45" t="str">
        <x:v>PENN</x:v>
      </x:c>
      <x:c r="E78" s="45" t="str">
        <x:v>Metro E</x:v>
      </x:c>
      <x:c r="F78" s="93"/>
      <x:c r="G78" s="93" t="str">
        <x:f>IF(F78="","",ROUND(F78/'99_Parametros'!$B$2,1))</x:f>
      </x:c>
      <x:c r="H78" s="45" t="n">
        <x:v>25</x:v>
      </x:c>
      <x:c r="I78" s="45" t="str">
        <x:v>No</x:v>
      </x:c>
      <x:c r="J78" s="54" t="str">
        <x:v>airport_return</x:v>
      </x:c>
      <x:c r="K78" s="54" t="str">
        <x:v>transit</x:v>
      </x:c>
      <x:c r="L78" s="54" t="str">
        <x:v>No</x:v>
      </x:c>
      <x:c r="M78" s="94" t="str">
        <x:v>Provisional</x:v>
      </x:c>
      <x:c r="N78" s="94" t="str">
        <x:v>No</x:v>
      </x:c>
      <x:c r="O78" s="54" t="str"/>
      <x:c r="P78" s="8"/>
      <x:c r="Q78" s="8" t="str">
        <x:f>IF(P78="","",P78/'99_Parametros'!$B$2)</x:f>
      </x:c>
      <x:c r="R78" s="42" t="str"/>
      <x:c r="S78" s="42" t="str">
        <x:v>https://www.google.com/maps/dir/?api=1&amp;origin=14+St%E2%80%938+Av+Subway+Station%2C+New+York%2C+NY&amp;destination=Penn+Station%2C+New+York%2C+NY&amp;travelmode=transit</x:v>
      </x:c>
      <x:c r="T78" s="42" t="str">
        <x:v>https://www.google.com/maps/dir/?api=1&amp;origin=14+St%E2%80%938+Av+Subway+Station%2C+New+York%2C+NY&amp;destination=Penn+Station%2C+New+York%2C+NY&amp;travelmode=transit</x:v>
      </x:c>
      <x:c r="U78" s="42" t="str">
        <x:v>Transporte · sin distancia a pie</x:v>
      </x:c>
      <x:c r="V78" s="42" t="str">
        <x:v>Plan</x:v>
      </x:c>
      <x:c r="W78" s="42" t="str">
        <x:v>10/09/2026</x:v>
      </x:c>
    </x:row>
    <x:row r="79">
      <x:c r="A79" s="45" t="str">
        <x:v>Vie 18</x:v>
      </x:c>
      <x:c r="B79" s="45" t="n">
        <x:v>3</x:v>
      </x:c>
      <x:c r="C79" s="45" t="str">
        <x:v>PENN</x:v>
      </x:c>
      <x:c r="D79" s="45" t="str">
        <x:v>JAMAICA</x:v>
      </x:c>
      <x:c r="E79" s="45" t="str">
        <x:v>LIRR</x:v>
      </x:c>
      <x:c r="F79" s="93"/>
      <x:c r="G79" s="93" t="str">
        <x:f>IF(F79="","",ROUND(F79/'99_Parametros'!$B$2,1))</x:f>
      </x:c>
      <x:c r="H79" s="45" t="n">
        <x:v>30</x:v>
      </x:c>
      <x:c r="I79" s="45" t="str">
        <x:v>No</x:v>
      </x:c>
      <x:c r="J79" s="54" t="str">
        <x:v>airport_return</x:v>
      </x:c>
      <x:c r="K79" s="54" t="str">
        <x:v>transit</x:v>
      </x:c>
      <x:c r="L79" s="54" t="str">
        <x:v>No</x:v>
      </x:c>
      <x:c r="M79" s="94" t="str">
        <x:v>Provisional</x:v>
      </x:c>
      <x:c r="N79" s="94" t="str">
        <x:v>No</x:v>
      </x:c>
      <x:c r="O79" s="54" t="str"/>
      <x:c r="P79" s="8"/>
      <x:c r="Q79" s="8" t="str">
        <x:f>IF(P79="","",P79/'99_Parametros'!$B$2)</x:f>
      </x:c>
      <x:c r="R79" s="42" t="str"/>
      <x:c r="S79" s="42" t="str">
        <x:v>https://www.google.com/maps/dir/?api=1&amp;origin=Penn+Station%2C+New+York%2C+NY&amp;destination=Jamaica+Station%2C+Queens%2C+NY&amp;travelmode=transit</x:v>
      </x:c>
      <x:c r="T79" s="42" t="str">
        <x:v>https://www.google.com/maps/dir/?api=1&amp;origin=Penn+Station%2C+New+York%2C+NY&amp;destination=Jamaica+Station%2C+Queens%2C+NY&amp;travelmode=transit</x:v>
      </x:c>
      <x:c r="U79" s="42" t="str">
        <x:v>Transporte · sin distancia a pie</x:v>
      </x:c>
      <x:c r="V79" s="42" t="str">
        <x:v>Plan</x:v>
      </x:c>
      <x:c r="W79" s="42" t="str">
        <x:v>10/09/2026</x:v>
      </x:c>
    </x:row>
    <x:row r="80">
      <x:c r="A80" s="45" t="str">
        <x:v>Vie 18</x:v>
      </x:c>
      <x:c r="B80" s="45" t="n">
        <x:v>4</x:v>
      </x:c>
      <x:c r="C80" s="45" t="str">
        <x:v>JAMAICA</x:v>
      </x:c>
      <x:c r="D80" s="45" t="str">
        <x:v>JFK</x:v>
      </x:c>
      <x:c r="E80" s="45" t="str">
        <x:v>AirTrain</x:v>
      </x:c>
      <x:c r="F80" s="93"/>
      <x:c r="G80" s="93" t="str">
        <x:f>IF(F80="","",ROUND(F80/'99_Parametros'!$B$2,1))</x:f>
      </x:c>
      <x:c r="H80" s="45" t="n">
        <x:v>20</x:v>
      </x:c>
      <x:c r="I80" s="45" t="str">
        <x:v>No</x:v>
      </x:c>
      <x:c r="J80" s="54" t="str">
        <x:v>airport_return</x:v>
      </x:c>
      <x:c r="K80" s="54" t="str">
        <x:v>transit</x:v>
      </x:c>
      <x:c r="L80" s="54" t="str">
        <x:v>No</x:v>
      </x:c>
      <x:c r="M80" s="94" t="str">
        <x:v>Provisional</x:v>
      </x:c>
      <x:c r="N80" s="94" t="str">
        <x:v>No</x:v>
      </x:c>
      <x:c r="O80" s="54" t="str"/>
      <x:c r="P80" s="8"/>
      <x:c r="Q80" s="8" t="str">
        <x:f>IF(P80="","",P80/'99_Parametros'!$B$2)</x:f>
      </x:c>
      <x:c r="R80" s="42" t="str"/>
      <x:c r="S80" s="42" t="str">
        <x:v>https://www.google.com/maps/dir/?api=1&amp;origin=Jamaica+Station%2C+Queens%2C+NY&amp;destination=John+F.+Kennedy+International+Airport&amp;travelmode=transit</x:v>
      </x:c>
      <x:c r="T80" s="42" t="str">
        <x:v>https://www.google.com/maps/dir/?api=1&amp;origin=Jamaica+Station%2C+Queens%2C+NY&amp;destination=John+F.+Kennedy+International+Airport&amp;travelmode=transit</x:v>
      </x:c>
      <x:c r="U80" s="42" t="str">
        <x:v>Transporte · sin distancia a pie</x:v>
      </x:c>
      <x:c r="V80" s="42" t="str">
        <x:v>Plan</x:v>
      </x:c>
      <x:c r="W80" s="42" t="str">
        <x:v>10/09/2026</x:v>
      </x:c>
    </x:row>
    <x:row r="81">
      <x:c r="A81" s="45" t="str">
        <x:v>Lun 14</x:v>
      </x:c>
      <x:c r="B81" s="45" t="n">
        <x:v>15</x:v>
      </x:c>
      <x:c r="C81" s="45" t="str">
        <x:v>WHITEHALL</x:v>
      </x:c>
      <x:c r="D81" s="45" t="str">
        <x:v>CHELSEA_BASE</x:v>
      </x:c>
      <x:c r="E81" s="45" t="str">
        <x:v>Metro + a pie</x:v>
      </x:c>
      <x:c r="F81" s="93" t="n">
        <x:v>700</x:v>
      </x:c>
      <x:c r="G81" s="93" t="n">
        <x:f>IF(F81="","",ROUND(F81/'99_Parametros'!$B$2,1))</x:f>
        <x:v>7</x:v>
      </x:c>
      <x:c r="H81" s="45" t="n">
        <x:v>7</x:v>
      </x:c>
      <x:c r="I81" s="45" t="str">
        <x:v>No</x:v>
      </x:c>
      <x:c r="J81" s="54" t="str">
        <x:v>return</x:v>
      </x:c>
      <x:c r="K81" s="54" t="str">
        <x:v>mixed</x:v>
      </x:c>
      <x:c r="L81" s="54" t="str">
        <x:v>No</x:v>
      </x:c>
      <x:c r="M81" s="94" t="str">
        <x:v>Histórico / provisional</x:v>
      </x:c>
      <x:c r="N81" s="94" t="str">
        <x:v>Ver URL</x:v>
      </x:c>
      <x:c r="O81" s="54" t="str">
        <x:v>Ruta base de regreso si se omite Seaport; componente a pie aproximado.</x:v>
      </x:c>
      <x:c r="P81" s="8" t="n">
        <x:v>500</x:v>
      </x:c>
      <x:c r="Q81" s="8" t="n">
        <x:f>IF(P81="","",P81/'99_Parametros'!$B$2)</x:f>
        <x:v>5</x:v>
      </x:c>
      <x:c r="R81" s="42" t="str">
        <x:v>Whitehall/South Ferry → metro hacia Chelsea → caminar al depto.</x:v>
      </x:c>
      <x:c r="S81" s="42" t="str">
        <x:v>https://www.google.com/maps/dir/?api=1&amp;origin=Whitehall+Ferry+Terminal%2C+New+York%2C+NY&amp;destination=8th+Avenue+%26+West+18th+Street%2C+New+York%2C+NY&amp;travelmode=transit</x:v>
      </x:c>
      <x:c r="T81" s="42" t="str">
        <x:v>https://www.google.com/maps/dir/?api=1&amp;origin=Whitehall+Ferry+Terminal%2C+New+York%2C+NY&amp;destination=8th+Avenue+%26+West+18th+Street%2C+New+York%2C+NY&amp;travelmode=transit</x:v>
      </x:c>
      <x:c r="U81" s="42" t="str">
        <x:v>Auditado por trazado urbano</x:v>
      </x:c>
      <x:c r="V81" s="42" t="str">
        <x:v>Media</x:v>
      </x:c>
      <x:c r="W81" s="42" t="str">
        <x:v>10/09/2026</x:v>
      </x:c>
    </x:row>
    <x:row r="82">
      <x:c r="A82" s="45" t="str">
        <x:v>Mar 15</x:v>
      </x:c>
      <x:c r="B82" s="45" t="n">
        <x:v>22</x:v>
      </x:c>
      <x:c r="C82" s="45" t="str">
        <x:v>ROCKEFELLER</x:v>
      </x:c>
      <x:c r="D82" s="45" t="str">
        <x:v>RADIO_CITY</x:v>
      </x:c>
      <x:c r="E82" s="45" t="str">
        <x:v>A pie</x:v>
      </x:c>
      <x:c r="F82" s="93" t="n">
        <x:v>300</x:v>
      </x:c>
      <x:c r="G82" s="93" t="n">
        <x:f>IF(F82="","",ROUND(F82/'99_Parametros'!$B$2,1))</x:f>
        <x:v>3</x:v>
      </x:c>
      <x:c r="H82" s="45" t="n">
        <x:v>3</x:v>
      </x:c>
      <x:c r="I82" s="45" t="str">
        <x:v>No</x:v>
      </x:c>
      <x:c r="J82" s="54" t="str">
        <x:v>fifth_ave</x:v>
      </x:c>
      <x:c r="K82" s="54" t="str">
        <x:v>walk</x:v>
      </x:c>
      <x:c r="L82" s="54" t="str">
        <x:v>No</x:v>
      </x:c>
      <x:c r="M82" s="94" t="str">
        <x:v>Reemplazada por auditoría</x:v>
      </x:c>
      <x:c r="N82" s="94" t="str">
        <x:v>No</x:v>
      </x:c>
      <x:c r="O82" s="54" t="str">
        <x:v>Ruta base si se omite FAO.</x:v>
      </x:c>
      <x:c r="P82" s="8" t="n">
        <x:v>204</x:v>
      </x:c>
      <x:c r="Q82" s="8" t="n">
        <x:f>IF(P82="","",P82/'99_Parametros'!$B$2)</x:f>
        <x:v>2.04</x:v>
      </x:c>
      <x:c r="R82" s="42" t="str">
        <x:v>Rockefeller Center → W49–50th hacia 6th Ave → Radio City (ruta base si se omite FAO).</x:v>
      </x:c>
      <x:c r="S82" s="42" t="str">
        <x:v>https://www.google.com/maps/dir/?api=1&amp;origin=Rockefeller+Center%2C+New+York%2C+NY&amp;destination=Radio+City+Music+Hall%2C+New+York%2C+NY&amp;travelmode=walking</x:v>
      </x:c>
      <x:c r="T82" s="42" t="str">
        <x:v>https://www.rome2rio.com/s/Rockefeller-Center/Radio-City-Music-Hall</x:v>
      </x:c>
      <x:c r="U82" s="42" t="str">
        <x:v>Verificado web + auditado</x:v>
      </x:c>
      <x:c r="V82" s="42" t="str">
        <x:v>Alta</x:v>
      </x:c>
      <x:c r="W82" s="42" t="str">
        <x:v>10/09/2026</x:v>
      </x:c>
    </x:row>
    <x:row r="83">
      <x:c r="A83" s="45" t="str">
        <x:v>Jue 17</x:v>
      </x:c>
      <x:c r="B83" s="45" t="n">
        <x:v>17</x:v>
      </x:c>
      <x:c r="C83" s="45" t="str">
        <x:v>NYPL_MAIN</x:v>
      </x:c>
      <x:c r="D83" s="45" t="str">
        <x:v>GRAND_CENTRAL</x:v>
      </x:c>
      <x:c r="E83" s="45" t="str">
        <x:v>A pie</x:v>
      </x:c>
      <x:c r="F83" s="93" t="n">
        <x:v>650</x:v>
      </x:c>
      <x:c r="G83" s="93" t="n">
        <x:f>IF(F83="","",ROUND(F83/'99_Parametros'!$B$2,1))</x:f>
        <x:v>6.5</x:v>
      </x:c>
      <x:c r="H83" s="45" t="n">
        <x:v>7</x:v>
      </x:c>
      <x:c r="I83" s="45" t="str">
        <x:v>No</x:v>
      </x:c>
      <x:c r="J83" s="54" t="str">
        <x:v>grand_central</x:v>
      </x:c>
      <x:c r="K83" s="54" t="str">
        <x:v>walk</x:v>
      </x:c>
      <x:c r="L83" s="54" t="str">
        <x:v>No</x:v>
      </x:c>
      <x:c r="M83" s="94" t="str">
        <x:v>Histórico / provisional</x:v>
      </x:c>
      <x:c r="N83" s="94" t="str">
        <x:v>Ver URL</x:v>
      </x:c>
      <x:c r="O83" s="54" t="str">
        <x:v>Ruta base si se omite SNFL.</x:v>
      </x:c>
      <x:c r="P83" s="8" t="n">
        <x:v>650</x:v>
      </x:c>
      <x:c r="Q83" s="8" t="n">
        <x:f>IF(P83="","",P83/'99_Parametros'!$B$2)</x:f>
        <x:v>6.5</x:v>
      </x:c>
      <x:c r="R83" s="42" t="str">
        <x:v>NYPL 5th/42nd → 42nd St este → Grand Central (ruta base sin SNFL).</x:v>
      </x:c>
      <x:c r="S83" s="42" t="str">
        <x:v>https://www.google.com/maps/dir/?api=1&amp;origin=New+York+Public+Library+Stephen+A.+Schwarzman+Building%2C+New+York%2C+NY&amp;destination=Grand+Central+Terminal%2C+New+York%2C+NY&amp;travelmode=walking</x:v>
      </x:c>
      <x:c r="T83" s="42" t="str">
        <x:v>https://www.google.com/maps/dir/?api=1&amp;origin=New+York+Public+Library+Stephen+A.+Schwarzman+Building%2C+New+York%2C+NY&amp;destination=Grand+Central+Terminal%2C+New+York%2C+NY&amp;travelmode=walking</x:v>
      </x:c>
      <x:c r="U83" s="42" t="str">
        <x:v>Auditado por trazado urbano</x:v>
      </x:c>
      <x:c r="V83" s="42" t="str">
        <x:v>Media-alta</x:v>
      </x:c>
      <x:c r="W83" s="42" t="str">
        <x:v>10/09/2026</x:v>
      </x:c>
    </x:row>
  </x:sheetData>
  <x:conditionalFormatting sqref="L2:L83">
    <x:cfRule type="expression" dxfId="3" priority="1">
      <x:formula>L2="Sí"</x:formula>
    </x:cfRule>
  </x:conditionalFormatting>
  <x:conditionalFormatting sqref="I2:I83">
    <x:cfRule type="expression" dxfId="4" priority="2">
      <x:formula>I2="Sí"</x:formula>
    </x:cfRule>
  </x:conditionalFormatting>
  <x:conditionalFormatting sqref="U2:U83">
    <x:cfRule type="expression" dxfId="8" priority="3">
      <x:formula>ISNUMBER(SEARCH("Verificado",U2))</x:formula>
    </x:cfRule>
    <x:cfRule type="expression" dxfId="9" priority="4">
      <x:formula>ISNUMBER(SEARCH("Auditado",U2))</x:formula>
    </x:cfRule>
  </x:conditionalFormatting>
  <x:conditionalFormatting sqref="V2:V83">
    <x:cfRule type="expression" dxfId="10" priority="5">
      <x:formula>V2="Alta"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14392c67a4414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80" hidden="0" customWidth="1"/>
    <x:col min="4" max="4" width="32" hidden="0" customWidth="1"/>
  </x:cols>
  <x:sheetData>
    <x:row r="1">
      <x:c r="A1" s="31" t="str">
        <x:v>Sección</x:v>
      </x:c>
      <x:c r="B1" s="31" t="str">
        <x:v>Tema</x:v>
      </x:c>
      <x:c r="C1" s="31" t="str">
        <x:v>Información</x:v>
      </x:c>
      <x:c r="D1" s="31" t="str">
        <x:v>Fuente / nota</x:v>
      </x:c>
    </x:row>
    <x:row r="2">
      <x:c r="A2" s="54" t="str">
        <x:v>Resumen</x:v>
      </x:c>
      <x:c r="B2" s="54" t="str">
        <x:v>Fechas</x:v>
      </x:c>
      <x:c r="C2" s="54" t="str">
        <x:v>13–18 septiembre 2026</x:v>
      </x:c>
      <x:c r="D2" s="54" t="str">
        <x:v>PDF p.2</x:v>
      </x:c>
    </x:row>
    <x:row r="3">
      <x:c r="A3" s="54" t="str">
        <x:v>Resumen</x:v>
      </x:c>
      <x:c r="B3" s="54" t="str">
        <x:v>Base</x:v>
      </x:c>
      <x:c r="C3" s="54" t="str">
        <x:v>Chelsea — 8th Ave entre W18 y W19</x:v>
      </x:c>
      <x:c r="D3" s="54" t="str">
        <x:v>PDF pp.1–3</x:v>
      </x:c>
    </x:row>
    <x:row r="4">
      <x:c r="A4" s="54" t="str">
        <x:v>Resumen</x:v>
      </x:c>
      <x:c r="B4" s="54" t="str">
        <x:v>Grupo</x:v>
      </x:c>
      <x:c r="C4" s="54" t="str">
        <x:v>4 adultos + niña de 8 + niña de 1,5</x:v>
      </x:c>
      <x:c r="D4" s="54" t="str">
        <x:v>PDF p.1</x:v>
      </x:c>
    </x:row>
    <x:row r="5">
      <x:c r="A5" s="54" t="str">
        <x:v>Resumen</x:v>
      </x:c>
      <x:c r="B5" s="54" t="str">
        <x:v>Estilo</x:v>
      </x:c>
      <x:c r="C5" s="54" t="str">
        <x:v>Caminar + transporte público; ritmo familiar; SUMMIT; una noche de pareja</x:v>
      </x:c>
      <x:c r="D5" s="54" t="str">
        <x:v>PDF p.1</x:v>
      </x:c>
    </x:row>
    <x:row r="6">
      <x:c r="A6" s="54" t="str">
        <x:v>Decisiones</x:v>
      </x:c>
      <x:c r="B6" s="54" t="str">
        <x:v>Museo</x:v>
      </x:c>
      <x:c r="C6" s="54" t="str">
        <x:v>Mantener The Met por encima del MoMA; en la versión revisada planificar 1h45 y máximo 2h.</x:v>
      </x:c>
      <x:c r="D6" s="54" t="str">
        <x:v>PDF p.2 + revisión Sep 10</x:v>
      </x:c>
    </x:row>
    <x:row r="7">
      <x:c r="A7" s="54" t="str">
        <x:v>Decisiones</x:v>
      </x:c>
      <x:c r="B7" s="54" t="str">
        <x:v>Mirador</x:v>
      </x:c>
      <x:c r="C7" s="54" t="str">
        <x:v>SUMMIT es el mirador pago principal; Edge queda como alternativa, no segunda entrada.</x:v>
      </x:c>
      <x:c r="D7" s="54" t="str">
        <x:v>PDF pp.2, 12</x:v>
      </x:c>
    </x:row>
    <x:row r="8">
      <x:c r="A8" s="54" t="str">
        <x:v>Decisiones</x:v>
      </x:c>
      <x:c r="B8" s="54" t="str">
        <x:v>Times Square</x:v>
      </x:c>
      <x:c r="C8" s="54" t="str">
        <x:v>Queda el martes, no la última noche.</x:v>
      </x:c>
      <x:c r="D8" s="54" t="str">
        <x:v>PDF p.2</x:v>
      </x:c>
    </x:row>
    <x:row r="9">
      <x:c r="A9" s="54" t="str">
        <x:v>Decisiones</x:v>
      </x:c>
      <x:c r="B9" s="54" t="str">
        <x:v>Noche de pareja</x:v>
      </x:c>
      <x:c r="C9" s="54" t="str">
        <x:v>Miércoles es la mejor oportunidad para vos y Jeni.</x:v>
      </x:c>
      <x:c r="D9" s="54" t="str">
        <x:v>PDF p.2</x:v>
      </x:c>
    </x:row>
    <x:row r="10">
      <x:c r="A10" s="54" t="str">
        <x:v>Decisiones</x:v>
      </x:c>
      <x:c r="B10" s="54" t="str">
        <x:v>Domingo</x:v>
      </x:c>
      <x:c r="C10" s="54" t="str">
        <x:v>Debe seguir corto y flexible; no reservar nada.</x:v>
      </x:c>
      <x:c r="D10" s="54" t="str">
        <x:v>PDF pp.2, 4</x:v>
      </x:c>
    </x:row>
    <x:row r="11">
      <x:c r="A11" s="54" t="str">
        <x:v>Movilidad</x:v>
      </x:c>
      <x:c r="B11" s="54" t="str">
        <x:v>Estación clave</x:v>
      </x:c>
      <x:c r="C11" s="54" t="str">
        <x:v>14 St–8 Av</x:v>
      </x:c>
      <x:c r="D11" s="54" t="str">
        <x:v>PDF p.3</x:v>
      </x:c>
    </x:row>
    <x:row r="12">
      <x:c r="A12" s="54" t="str">
        <x:v>Movilidad</x:v>
      </x:c>
      <x:c r="B12" s="54" t="str">
        <x:v>Llegada JFK</x:v>
      </x:c>
      <x:c r="C12" s="54" t="str">
        <x:v>AirTrain → Jamaica → LIRR → Penn → E → 14 St–8 Av → departamento.</x:v>
      </x:c>
      <x:c r="D12" s="54" t="str">
        <x:v>PDF p.3</x:v>
      </x:c>
    </x:row>
    <x:row r="13">
      <x:c r="A13" s="54" t="str">
        <x:v>Movilidad</x:v>
      </x:c>
      <x:c r="B13" s="54" t="str">
        <x:v>Costo llegada</x:v>
      </x:c>
      <x:c r="C13" s="54" t="str">
        <x:v>Estimado grupal USD 80,75.</x:v>
      </x:c>
      <x:c r="D13" s="54" t="str">
        <x:v>PDF p.3</x:v>
      </x:c>
    </x:row>
    <x:row r="14">
      <x:c r="A14" s="54" t="str">
        <x:v>Movilidad</x:v>
      </x:c>
      <x:c r="B14" s="54" t="str">
        <x:v>Metro/bus</x:v>
      </x:c>
      <x:c r="C14" s="54" t="str">
        <x:v>Pasaje USD 3; fare cap semanal estimado USD 35 por pasajero usando siempre el mismo medio de pago.</x:v>
      </x:c>
      <x:c r="D14" s="54" t="str">
        <x:v>PDF p.3; verificar antes del viaje</x:v>
      </x:c>
    </x:row>
    <x:row r="15">
      <x:c r="A15" s="54" t="str">
        <x:v>Movilidad</x:v>
      </x:c>
      <x:c r="B15" s="54" t="str">
        <x:v>Niñas</x:v>
      </x:c>
      <x:c r="C15" s="54" t="str">
        <x:v>La menor viaja gratis; la de 8 depende de altura/criterio aplicable. Confirmar antes del viaje.</x:v>
      </x:c>
      <x:c r="D15" s="54" t="str">
        <x:v>PDF p.3</x:v>
      </x:c>
    </x:row>
    <x:row r="16">
      <x:c r="A16" s="54" t="str">
        <x:v>Accesibilidad</x:v>
      </x:c>
      <x:c r="B16" s="54" t="str">
        <x:v>Cochecito</x:v>
      </x:c>
      <x:c r="C16" s="54" t="str">
        <x:v>Liviano y plegable; sumar portabebé por estaciones sin ascensor / incidencias.</x:v>
      </x:c>
      <x:c r="D16" s="54" t="str">
        <x:v>PDF p.3</x:v>
      </x:c>
    </x:row>
    <x:row r="17">
      <x:c r="A17" s="54" t="str">
        <x:v>Accesibilidad</x:v>
      </x:c>
      <x:c r="B17" s="54" t="str">
        <x:v>MTA</x:v>
      </x:c>
      <x:c r="C17" s="54" t="str">
        <x:v>Revisar app MTA cada mañana por cambios y accesibilidad.</x:v>
      </x:c>
      <x:c r="D17" s="54" t="str">
        <x:v>PDF p.3</x:v>
      </x:c>
    </x:row>
    <x:row r="18">
      <x:c r="A18" s="54" t="str">
        <x:v>Accesibilidad</x:v>
      </x:c>
      <x:c r="B18" s="54" t="str">
        <x:v>Buses</x:v>
      </x:c>
      <x:c r="C18" s="54" t="str">
        <x:v>Útiles para descansar y evitar escaleras.</x:v>
      </x:c>
      <x:c r="D18" s="54" t="str">
        <x:v>PDF p.3</x:v>
      </x:c>
    </x:row>
    <x:row r="19">
      <x:c r="A19" s="54" t="str">
        <x:v>Uso diario</x:v>
      </x:c>
      <x:c r="B19" s="54" t="str">
        <x:v>Llevar</x:v>
      </x:c>
      <x:c r="C19" s="54" t="str">
        <x:v>Botella de agua; snacks; batería externa; portabebé; capa liviana para lluvia; muda de la menor; calzado ya usado.</x:v>
      </x:c>
      <x:c r="D19" s="54" t="str">
        <x:v>PDF p.15</x:v>
      </x:c>
    </x:row>
    <x:row r="20">
      <x:c r="A20" s="54" t="str">
        <x:v>Recortes</x:v>
      </x:c>
      <x:c r="B20" s="54" t="str">
        <x:v>1</x:v>
      </x:c>
      <x:c r="C20" s="54" t="str">
        <x:v>South Street Seaport el lunes.</x:v>
      </x:c>
      <x:c r="D20" s="54" t="str">
        <x:v>PDF p.15</x:v>
      </x:c>
    </x:row>
    <x:row r="21">
      <x:c r="A21" s="54" t="str">
        <x:v>Recortes</x:v>
      </x:c>
      <x:c r="B21" s="54" t="str">
        <x:v>2</x:v>
      </x:c>
      <x:c r="C21" s="54" t="str">
        <x:v>Parte de Greenwich Village el miércoles.</x:v>
      </x:c>
      <x:c r="D21" s="54" t="str">
        <x:v>PDF p.15</x:v>
      </x:c>
    </x:row>
    <x:row r="22">
      <x:c r="A22" s="54" t="str">
        <x:v>Recortes</x:v>
      </x:c>
      <x:c r="B22" s="54" t="str">
        <x:v>3</x:v>
      </x:c>
      <x:c r="C22" s="54" t="str">
        <x:v>Algún tramo de Fifth Avenue / microparadas el martes.</x:v>
      </x:c>
      <x:c r="D22" s="54" t="str">
        <x:v>PDF p.15 + revisión</x:v>
      </x:c>
    </x:row>
    <x:row r="23">
      <x:c r="A23" s="54" t="str">
        <x:v>Recortes</x:v>
      </x:c>
      <x:c r="B23" s="54" t="str">
        <x:v>4</x:v>
      </x:c>
      <x:c r="C23" s="54" t="str">
        <x:v>Vessel/shops o SNFL el jueves; Tudor City no forma parte del plan base.</x:v>
      </x:c>
      <x:c r="D23" s="54" t="str">
        <x:v>PDF p.15 + revisión</x:v>
      </x:c>
    </x:row>
    <x:row r="24">
      <x:c r="A24" s="54" t="str">
        <x:v>Esenciales</x:v>
      </x:c>
      <x:c r="B24" s="54" t="str">
        <x:v>Mantener</x:v>
      </x:c>
      <x:c r="C24" s="54" t="str">
        <x:v>Downtown, Central Park, The Met, Times Square, Brooklyn y SUMMIT.</x:v>
      </x:c>
      <x:c r="D24" s="54" t="str">
        <x:v>PDF p.15</x:v>
      </x:c>
    </x:row>
    <x:row r="25">
      <x:c r="A25" s="54" t="str">
        <x:v>Clima</x:v>
      </x:c>
      <x:c r="B25" s="54" t="str">
        <x:v>Si llueve</x:v>
      </x:c>
      <x:c r="C25" s="54" t="str">
        <x:v>Priorizar The Met, Grand Central, biblioteca y SUMMIT; reducir High Line, Little Island o Brooklyn Heights.</x:v>
      </x:c>
      <x:c r="D25" s="54" t="str">
        <x:v>PDF p.15</x:v>
      </x:c>
    </x:row>
    <x:row r="26">
      <x:c r="A26" s="54" t="str">
        <x:v>Cansancio</x:v>
      </x:c>
      <x:c r="B26" s="54" t="str">
        <x:v>Si hay cansancio</x:v>
      </x:c>
      <x:c r="C26" s="54" t="str">
        <x:v>Usar buses, cortar en SoHo el miércoles y omitir South Street Seaport el lunes.</x:v>
      </x:c>
      <x:c r="D26" s="54" t="str">
        <x:v>PDF p.15</x:v>
      </x:c>
    </x:row>
    <x:row r="27">
      <x:c r="A27" s="54" t="str">
        <x:v>Principio</x:v>
      </x:c>
      <x:c r="B27" s="54" t="str">
        <x:v>Buffers</x:v>
      </x:c>
      <x:c r="C27" s="54" t="str">
        <x:v>No esconder el margen dentro del tiempo de caminata: descanso, compras/imprevistos y buffers quedan explícitos.</x:v>
      </x:c>
      <x:c r="D27" s="54" t="str">
        <x:v>Revisión Sep 10</x:v>
      </x:c>
    </x:row>
    <x:row r="28">
      <x:c r="A28" s="54" t="str">
        <x:v>Principio</x:v>
      </x:c>
      <x:c r="B28" s="54" t="str">
        <x:v>Caminata</x:v>
      </x:c>
      <x:c r="C28" s="54" t="str">
        <x:v>Ritmo operativo: 100 m ≈ 1 min de caminata efectiva. Las distancias de esta planilla son provisionales hasta rutear el mapa.</x:v>
      </x:c>
      <x:c r="D28" s="54" t="str">
        <x:v>Definido por Fer + revisión</x:v>
      </x:c>
    </x:row>
    <x:row r="29">
      <x:c r="A29" s="54" t="str">
        <x:v>Principio</x:v>
      </x:c>
      <x:c r="B29" s="54" t="str">
        <x:v>No ametralladora</x:v>
      </x:c>
      <x:c r="C29" s="54" t="str">
        <x:v>Un hueco se llena primero con descanso/comida/compras. Sólo considerar sumar algo si quedan &gt;45 min limpios después de eso.</x:v>
      </x:c>
      <x:c r="D29" s="54" t="str">
        <x:v>Revisión Sep 10</x:v>
      </x:c>
    </x:row>
    <x:row r="30">
      <x:c r="A30" s="54" t="str">
        <x:v>Principio</x:v>
      </x:c>
      <x:c r="B30" s="54" t="str">
        <x:v>Mapa</x:v>
      </x:c>
      <x:c r="C30" s="54" t="str">
        <x:v>Los IDs, queries, puntos y segmentos están separados para que luego el HTML/mapa pueda consumirlos sin rehacer la guía.</x:v>
      </x:c>
      <x:c r="D30" s="54" t="str">
        <x:v>Diseño de la planilla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14" hidden="0" customWidth="1"/>
    <x:col min="4" max="4" width="14" hidden="0" customWidth="1"/>
    <x:col min="5" max="5" width="18" hidden="0" customWidth="1"/>
    <x:col min="6" max="6" width="52" hidden="0" customWidth="1"/>
  </x:cols>
  <x:sheetData>
    <x:row r="1">
      <x:c r="A1" s="31" t="str">
        <x:v>Categoría</x:v>
      </x:c>
      <x:c r="B1" s="31" t="str">
        <x:v>Concepto</x:v>
      </x:c>
      <x:c r="C1" s="31" t="str">
        <x:v>Mín USD</x:v>
      </x:c>
      <x:c r="D1" s="31" t="str">
        <x:v>Máx USD</x:v>
      </x:c>
      <x:c r="E1" s="31" t="str">
        <x:v>Tipo</x:v>
      </x:c>
      <x:c r="F1" s="31" t="str">
        <x:v>Nota</x:v>
      </x:c>
    </x:row>
    <x:row r="2">
      <x:c r="A2" s="54" t="str">
        <x:v>Transporte</x:v>
      </x:c>
      <x:c r="B2" s="54" t="str">
        <x:v>JFK → Chelsea</x:v>
      </x:c>
      <x:c r="C2" s="72" t="n">
        <x:v>80.75</x:v>
      </x:c>
      <x:c r="D2" s="72" t="n">
        <x:v>80.75</x:v>
      </x:c>
      <x:c r="E2" s="54" t="str">
        <x:v>Grupo</x:v>
      </x:c>
      <x:c r="F2" s="54" t="str">
        <x:v>AirTrain + LIRR + metro; estimación original.</x:v>
      </x:c>
    </x:row>
    <x:row r="3">
      <x:c r="A3" s="54" t="str">
        <x:v>Transporte</x:v>
      </x:c>
      <x:c r="B3" s="54" t="str">
        <x:v>Metro y buses durante la estadía</x:v>
      </x:c>
      <x:c r="C3" s="72" t="n">
        <x:v>135</x:v>
      </x:c>
      <x:c r="D3" s="72" t="n">
        <x:v>175</x:v>
      </x:c>
      <x:c r="E3" s="54" t="str">
        <x:v>Grupo</x:v>
      </x:c>
      <x:c r="F3" s="54" t="str">
        <x:v>Estimación original; revisar con uso real/OMNY.</x:v>
      </x:c>
    </x:row>
    <x:row r="4">
      <x:c r="A4" s="54" t="str">
        <x:v>Transporte</x:v>
      </x:c>
      <x:c r="B4" s="54" t="str">
        <x:v>Chelsea → JFK</x:v>
      </x:c>
      <x:c r="C4" s="72" t="n">
        <x:v>80.75</x:v>
      </x:c>
      <x:c r="D4" s="72" t="n">
        <x:v>80.75</x:v>
      </x:c>
      <x:c r="E4" s="54" t="str">
        <x:v>Grupo</x:v>
      </x:c>
      <x:c r="F4" s="54" t="str">
        <x:v>Estimación original.</x:v>
      </x:c>
    </x:row>
    <x:row r="5">
      <x:c r="A5" s="54" t="str">
        <x:v>Transporte</x:v>
      </x:c>
      <x:c r="B5" s="54" t="str">
        <x:v>Total transporte</x:v>
      </x:c>
      <x:c r="C5" s="72" t="n">
        <x:v>296.5</x:v>
      </x:c>
      <x:c r="D5" s="72" t="n">
        <x:v>336.5</x:v>
      </x:c>
      <x:c r="E5" s="54" t="str">
        <x:v>Grupo</x:v>
      </x:c>
      <x:c r="F5" s="54" t="str">
        <x:v>Del PDF original.</x:v>
      </x:c>
    </x:row>
    <x:row r="6">
      <x:c r="A6" s="54" t="str">
        <x:v>Atracciones</x:v>
      </x:c>
      <x:c r="B6" s="54" t="str">
        <x:v>The Met</x:v>
      </x:c>
      <x:c r="C6" s="72" t="n">
        <x:v>120</x:v>
      </x:c>
      <x:c r="D6" s="72" t="n">
        <x:v>120</x:v>
      </x:c>
      <x:c r="E6" s="54" t="str">
        <x:v>Grupo</x:v>
      </x:c>
      <x:c r="F6" s="54" t="str">
        <x:v>4 adultos; niñas gratis según guía original.</x:v>
      </x:c>
    </x:row>
    <x:row r="7">
      <x:c r="A7" s="54" t="str">
        <x:v>Atracciones</x:v>
      </x:c>
      <x:c r="B7" s="54" t="str">
        <x:v>SUMMIT One Vanderbilt</x:v>
      </x:c>
      <x:c r="C7" s="72" t="n">
        <x:v>218</x:v>
      </x:c>
      <x:c r="D7" s="72" t="n">
        <x:v>280</x:v>
      </x:c>
      <x:c r="E7" s="54" t="str">
        <x:v>Grupo</x:v>
      </x:c>
      <x:c r="F7" s="54" t="str">
        <x:v>Precios dinámicos.</x:v>
      </x:c>
    </x:row>
    <x:row r="8">
      <x:c r="A8" s="54" t="str">
        <x:v>Atracciones</x:v>
      </x:c>
      <x:c r="B8" s="54" t="str">
        <x:v>Staten Island Ferry</x:v>
      </x:c>
      <x:c r="C8" s="72" t="n">
        <x:v>0</x:v>
      </x:c>
      <x:c r="D8" s="72" t="n">
        <x:v>0</x:v>
      </x:c>
      <x:c r="E8" s="54" t="str">
        <x:v>Grupo</x:v>
      </x:c>
      <x:c r="F8" s="54" t="str">
        <x:v>Gratis.</x:v>
      </x:c>
    </x:row>
    <x:row r="9">
      <x:c r="A9" s="54" t="str">
        <x:v>Atracciones</x:v>
      </x:c>
      <x:c r="B9" s="54" t="str">
        <x:v>9/11 Memorial exterior</x:v>
      </x:c>
      <x:c r="C9" s="72" t="n">
        <x:v>0</x:v>
      </x:c>
      <x:c r="D9" s="72" t="n">
        <x:v>0</x:v>
      </x:c>
      <x:c r="E9" s="54" t="str">
        <x:v>Grupo</x:v>
      </x:c>
      <x:c r="F9" s="54" t="str">
        <x:v>Gratis.</x:v>
      </x:c>
    </x:row>
    <x:row r="10">
      <x:c r="A10" s="54" t="str">
        <x:v>Atracciones</x:v>
      </x:c>
      <x:c r="B10" s="54" t="str">
        <x:v>Central Park</x:v>
      </x:c>
      <x:c r="C10" s="72" t="n">
        <x:v>0</x:v>
      </x:c>
      <x:c r="D10" s="72" t="n">
        <x:v>0</x:v>
      </x:c>
      <x:c r="E10" s="54" t="str">
        <x:v>Grupo</x:v>
      </x:c>
      <x:c r="F10" s="54" t="str">
        <x:v>Gratis.</x:v>
      </x:c>
    </x:row>
    <x:row r="11">
      <x:c r="A11" s="54" t="str">
        <x:v>Atracciones</x:v>
      </x:c>
      <x:c r="B11" s="54" t="str">
        <x:v>High Line + Little Island</x:v>
      </x:c>
      <x:c r="C11" s="72" t="n">
        <x:v>0</x:v>
      </x:c>
      <x:c r="D11" s="72" t="n">
        <x:v>0</x:v>
      </x:c>
      <x:c r="E11" s="54" t="str">
        <x:v>Grupo</x:v>
      </x:c>
      <x:c r="F11" s="54" t="str">
        <x:v>Gratis.</x:v>
      </x:c>
    </x:row>
    <x:row r="12">
      <x:c r="A12" s="54" t="str">
        <x:v>Atracciones</x:v>
      </x:c>
      <x:c r="B12" s="54" t="str">
        <x:v>Brooklyn Bridge + DUMBO</x:v>
      </x:c>
      <x:c r="C12" s="72" t="n">
        <x:v>0</x:v>
      </x:c>
      <x:c r="D12" s="72" t="n">
        <x:v>0</x:v>
      </x:c>
      <x:c r="E12" s="54" t="str">
        <x:v>Grupo</x:v>
      </x:c>
      <x:c r="F12" s="54" t="str">
        <x:v>Gratis.</x:v>
      </x:c>
    </x:row>
    <x:row r="13">
      <x:c r="A13" s="54" t="str">
        <x:v>Atracciones</x:v>
      </x:c>
      <x:c r="B13" s="54" t="str">
        <x:v>Times Square</x:v>
      </x:c>
      <x:c r="C13" s="72" t="n">
        <x:v>0</x:v>
      </x:c>
      <x:c r="D13" s="72" t="n">
        <x:v>0</x:v>
      </x:c>
      <x:c r="E13" s="54" t="str">
        <x:v>Grupo</x:v>
      </x:c>
      <x:c r="F13" s="54" t="str">
        <x:v>Gratis.</x:v>
      </x:c>
    </x:row>
    <x:row r="14">
      <x:c r="A14" s="54" t="str">
        <x:v>Atracciones</x:v>
      </x:c>
      <x:c r="B14" s="54" t="str">
        <x:v>Grand Central + biblioteca</x:v>
      </x:c>
      <x:c r="C14" s="72" t="n">
        <x:v>0</x:v>
      </x:c>
      <x:c r="D14" s="72" t="n">
        <x:v>0</x:v>
      </x:c>
      <x:c r="E14" s="54" t="str">
        <x:v>Grupo</x:v>
      </x:c>
      <x:c r="F14" s="54" t="str">
        <x:v>Gratis.</x:v>
      </x:c>
    </x:row>
    <x:row r="15">
      <x:c r="A15" s="54" t="str">
        <x:v>Atracciones</x:v>
      </x:c>
      <x:c r="B15" s="54" t="str">
        <x:v>Roosevelt Island Tram</x:v>
      </x:c>
      <x:c r="C15" s="72"/>
      <x:c r="D15" s="72"/>
      <x:c r="E15" s="54" t="str">
        <x:v>Grupo</x:v>
      </x:c>
      <x:c r="F15" s="54" t="str">
        <x:v>Nuevo. No recalculado en el presupuesto; verificar tarifa/OMNY antes del viaje.</x:v>
      </x:c>
    </x:row>
    <x:row r="16">
      <x:c r="A16" s="54" t="str">
        <x:v>Atracciones</x:v>
      </x:c>
      <x:c r="B16" s="54" t="str">
        <x:v>Moynihan / Herald / Empire exterior / SNFL</x:v>
      </x:c>
      <x:c r="C16" s="72" t="n">
        <x:v>0</x:v>
      </x:c>
      <x:c r="D16" s="72" t="n">
        <x:v>0</x:v>
      </x:c>
      <x:c r="E16" s="54" t="str">
        <x:v>Grupo</x:v>
      </x:c>
      <x:c r="F16" s="54" t="str">
        <x:v>Nuevos; planificados como paradas gratuitas. Compras en Macy's no incluidas.</x:v>
      </x:c>
    </x:row>
    <x:row r="17">
      <x:c r="A17" s="54" t="str">
        <x:v>Atracciones</x:v>
      </x:c>
      <x:c r="B17" s="54" t="str">
        <x:v>Total atracciones original</x:v>
      </x:c>
      <x:c r="C17" s="72" t="n">
        <x:v>338</x:v>
      </x:c>
      <x:c r="D17" s="72" t="n">
        <x:v>400</x:v>
      </x:c>
      <x:c r="E17" s="54" t="str">
        <x:v>Grupo</x:v>
      </x:c>
      <x:c r="F17" s="54" t="str">
        <x:v>No incluye potencial tarifa incremental del Tram.</x:v>
      </x:c>
    </x:row>
    <x:row r="18">
      <x:c r="A18" s="54" t="str">
        <x:v>Comidas</x:v>
      </x:c>
      <x:c r="B18" s="54" t="str">
        <x:v>Presupuesto económico por día</x:v>
      </x:c>
      <x:c r="C18" s="72" t="n">
        <x:v>180</x:v>
      </x:c>
      <x:c r="D18" s="72" t="n">
        <x:v>180</x:v>
      </x:c>
      <x:c r="E18" s="54" t="str">
        <x:v>Grupo/día</x:v>
      </x:c>
      <x:c r="F18" s="54" t="str">
        <x:v>Referencia original.</x:v>
      </x:c>
    </x:row>
    <x:row r="19">
      <x:c r="A19" s="54" t="str">
        <x:v>Comidas</x:v>
      </x:c>
      <x:c r="B19" s="54" t="str">
        <x:v>Presupuesto cómodo por día</x:v>
      </x:c>
      <x:c r="C19" s="72" t="n">
        <x:v>250</x:v>
      </x:c>
      <x:c r="D19" s="72" t="n">
        <x:v>280</x:v>
      </x:c>
      <x:c r="E19" s="54" t="str">
        <x:v>Grupo/día</x:v>
      </x:c>
      <x:c r="F19" s="54" t="str">
        <x:v>Referencia original.</x:v>
      </x:c>
    </x:row>
    <x:row r="20">
      <x:c r="A20" s="54" t="str">
        <x:v>Comidas</x:v>
      </x:c>
      <x:c r="B20" s="54" t="str">
        <x:v>Total estadía</x:v>
      </x:c>
      <x:c r="C20" s="72" t="n">
        <x:v>810</x:v>
      </x:c>
      <x:c r="D20" s="72" t="n">
        <x:v>1260</x:v>
      </x:c>
      <x:c r="E20" s="54" t="str">
        <x:v>Grupo</x:v>
      </x:c>
      <x:c r="F20" s="54" t="str">
        <x:v>Referencia original.</x:v>
      </x:c>
    </x:row>
    <x:row r="21">
      <x:c r="A21" s="54" t="str">
        <x:v>Comidas</x:v>
      </x:c>
      <x:c r="B21" s="54" t="str">
        <x:v>Impuestos + propina</x:v>
      </x:c>
      <x:c r="C21" s="72"/>
      <x:c r="D21" s="72"/>
      <x:c r="E21" s="54" t="str"/>
      <x:c r="F21" s="54" t="str">
        <x:v>En restaurantes con mesa, la guía recomienda calcular ~30% adicional sobre precio publicado.</x:v>
      </x:c>
    </x:row>
    <x:row r="22">
      <x:c r="A22" s="54" t="str">
        <x:v>Salida pareja</x:v>
      </x:c>
      <x:c r="B22" s="54" t="str">
        <x:v>Porchlight</x:v>
      </x:c>
      <x:c r="C22" s="72" t="n">
        <x:v>80</x:v>
      </x:c>
      <x:c r="D22" s="72" t="n">
        <x:v>110</x:v>
      </x:c>
      <x:c r="E22" s="54" t="str">
        <x:v>2 personas</x:v>
      </x:c>
      <x:c r="F22" s="54" t="str">
        <x:v>Alternativa relajada.</x:v>
      </x:c>
    </x:row>
    <x:row r="23">
      <x:c r="A23" s="54" t="str">
        <x:v>Salida pareja</x:v>
      </x:c>
      <x:c r="B23" s="54" t="str">
        <x:v>Le Bain</x:v>
      </x:c>
      <x:c r="C23" s="72" t="n">
        <x:v>120</x:v>
      </x:c>
      <x:c r="D23" s="72" t="n">
        <x:v>180</x:v>
      </x:c>
      <x:c r="E23" s="54" t="str">
        <x:v>2 personas</x:v>
      </x:c>
      <x:c r="F23" s="54" t="str">
        <x:v>Opción principal.</x:v>
      </x:c>
    </x:row>
    <x:row r="24">
      <x:c r="A24" s="54" t="str">
        <x:v>Salida pareja</x:v>
      </x:c>
      <x:c r="B24" s="54" t="str">
        <x:v>Marquee</x:v>
      </x:c>
      <x:c r="C24" s="72" t="n">
        <x:v>100</x:v>
      </x:c>
      <x:c r="D24" s="72" t="n">
        <x:v>220</x:v>
      </x:c>
      <x:c r="E24" s="54" t="str">
        <x:v>2 personas</x:v>
      </x:c>
      <x:c r="F24" s="54" t="str">
        <x:v>Discoteca alternativa.</x:v>
      </x:c>
    </x:row>
    <x:row r="25">
      <x:c r="A25" s="54" t="str">
        <x:v>Total general</x:v>
      </x:c>
      <x:c r="B25" s="54" t="str">
        <x:v>Orientativo</x:v>
      </x:c>
      <x:c r="C25" s="72" t="n">
        <x:v>1550</x:v>
      </x:c>
      <x:c r="D25" s="72" t="n">
        <x:v>2150</x:v>
      </x:c>
      <x:c r="E25" s="54" t="str">
        <x:v>Grupo</x:v>
      </x:c>
      <x:c r="F25" s="54" t="str">
        <x:v>Transporte + The Met + SUMMIT + comidas + una salida de pareja; sin alojamiento, vuelos ni compras.</x:v>
      </x:c>
    </x:row>
    <x:row r="26">
      <x:c r="A26" s="42" t="str">
        <x:v>Domingo 13</x:v>
      </x:c>
      <x:c r="B26" s="42" t="str">
        <x:v>Compra inicial para el departamento</x:v>
      </x:c>
      <x:c r="C26" s="74" t="n">
        <x:v>50</x:v>
      </x:c>
      <x:c r="D26" s="74" t="n">
        <x:v>90</x:v>
      </x:c>
      <x:c r="E26" s="42" t="str">
        <x:v>Grupo</x:v>
      </x:c>
      <x:c r="F26" s="42" t="str">
        <x:v>Agua/provisiones; del PDF p.4.</x:v>
      </x:c>
    </x:row>
    <x:row r="27">
      <x:c r="A27" s="42" t="str">
        <x:v>Domingo 13</x:v>
      </x:c>
      <x:c r="B27" s="42" t="str">
        <x:v>Cena casual grupal</x:v>
      </x:c>
      <x:c r="C27" s="74" t="n">
        <x:v>120</x:v>
      </x:c>
      <x:c r="D27" s="74" t="n">
        <x:v>180</x:v>
      </x:c>
      <x:c r="E27" s="42" t="str">
        <x:v>Grupo</x:v>
      </x:c>
      <x:c r="F27" s="42" t="str">
        <x:v>Del PDF p.4.</x:v>
      </x:c>
    </x:row>
    <x:row r="28">
      <x:c r="A28" s="42" t="str">
        <x:v>Domingo 13</x:v>
      </x:c>
      <x:c r="B28" s="42" t="str">
        <x:v>Atracciones</x:v>
      </x:c>
      <x:c r="C28" s="74" t="n">
        <x:v>0</x:v>
      </x:c>
      <x:c r="D28" s="74" t="n">
        <x:v>0</x:v>
      </x:c>
      <x:c r="E28" s="42" t="str">
        <x:v>Grupo</x:v>
      </x:c>
      <x:c r="F28" s="42" t="str">
        <x:v>Gratis.</x:v>
      </x:c>
    </x:row>
    <x:row r="29">
      <x:c r="A29" s="42" t="str">
        <x:v>Lunes 14</x:v>
      </x:c>
      <x:c r="B29" s="42" t="str">
        <x:v>Transporte del día</x:v>
      </x:c>
      <x:c r="C29" s="74" t="n">
        <x:v>30</x:v>
      </x:c>
      <x:c r="D29" s="74" t="n">
        <x:v>30</x:v>
      </x:c>
      <x:c r="E29" s="42" t="str">
        <x:v>Grupo</x:v>
      </x:c>
      <x:c r="F29" s="42" t="str">
        <x:v>Aprox.; del PDF p.5.</x:v>
      </x:c>
    </x:row>
    <x:row r="30">
      <x:c r="A30" s="42" t="str">
        <x:v>Lunes 14</x:v>
      </x:c>
      <x:c r="B30" s="42" t="str">
        <x:v>Atracciones</x:v>
      </x:c>
      <x:c r="C30" s="74" t="n">
        <x:v>0</x:v>
      </x:c>
      <x:c r="D30" s="74" t="n">
        <x:v>0</x:v>
      </x:c>
      <x:c r="E30" s="42" t="str">
        <x:v>Grupo</x:v>
      </x:c>
      <x:c r="F30" s="42" t="str">
        <x:v>Gratis.</x:v>
      </x:c>
    </x:row>
    <x:row r="31">
      <x:c r="A31" s="42" t="str">
        <x:v>Lunes 14</x:v>
      </x:c>
      <x:c r="B31" s="42" t="str">
        <x:v>Almuerzo grupal</x:v>
      </x:c>
      <x:c r="C31" s="74" t="n">
        <x:v>70</x:v>
      </x:c>
      <x:c r="D31" s="74" t="n">
        <x:v>110</x:v>
      </x:c>
      <x:c r="E31" s="42" t="str">
        <x:v>Grupo</x:v>
      </x:c>
      <x:c r="F31" s="42" t="str">
        <x:v>Del PDF p.5.</x:v>
      </x:c>
    </x:row>
    <x:row r="32">
      <x:c r="A32" s="42" t="str">
        <x:v>Lunes 14</x:v>
      </x:c>
      <x:c r="B32" s="42" t="str">
        <x:v>Comidas totales del día</x:v>
      </x:c>
      <x:c r="C32" s="74" t="n">
        <x:v>180</x:v>
      </x:c>
      <x:c r="D32" s="74" t="n">
        <x:v>260</x:v>
      </x:c>
      <x:c r="E32" s="42" t="str">
        <x:v>Grupo</x:v>
      </x:c>
      <x:c r="F32" s="42" t="str">
        <x:v>Del PDF p.5.</x:v>
      </x:c>
    </x:row>
    <x:row r="33">
      <x:c r="A33" s="42" t="str">
        <x:v>Martes 15</x:v>
      </x:c>
      <x:c r="B33" s="42" t="str">
        <x:v>The Met</x:v>
      </x:c>
      <x:c r="C33" s="74" t="n">
        <x:v>120</x:v>
      </x:c>
      <x:c r="D33" s="74" t="n">
        <x:v>120</x:v>
      </x:c>
      <x:c r="E33" s="42" t="str">
        <x:v>Grupo</x:v>
      </x:c>
      <x:c r="F33" s="42" t="str">
        <x:v>Del PDF p.6/7.</x:v>
      </x:c>
    </x:row>
    <x:row r="34">
      <x:c r="A34" s="42" t="str">
        <x:v>Martes 15</x:v>
      </x:c>
      <x:c r="B34" s="42" t="str">
        <x:v>Transporte del día</x:v>
      </x:c>
      <x:c r="C34" s="74" t="n">
        <x:v>30</x:v>
      </x:c>
      <x:c r="D34" s="74" t="n">
        <x:v>45</x:v>
      </x:c>
      <x:c r="E34" s="42" t="str">
        <x:v>Grupo</x:v>
      </x:c>
      <x:c r="F34" s="42" t="str">
        <x:v>Del PDF p.7; el Tram nuevo puede modificar uso OMNY.</x:v>
      </x:c>
    </x:row>
    <x:row r="35">
      <x:c r="A35" s="42" t="str">
        <x:v>Martes 15</x:v>
      </x:c>
      <x:c r="B35" s="42" t="str">
        <x:v>Cena grupal</x:v>
      </x:c>
      <x:c r="C35" s="74" t="n">
        <x:v>140</x:v>
      </x:c>
      <x:c r="D35" s="74" t="n">
        <x:v>220</x:v>
      </x:c>
      <x:c r="E35" s="42" t="str">
        <x:v>Grupo</x:v>
      </x:c>
      <x:c r="F35" s="42" t="str">
        <x:v>Del PDF p.7.</x:v>
      </x:c>
    </x:row>
    <x:row r="36">
      <x:c r="A36" s="42" t="str">
        <x:v>Martes 15</x:v>
      </x:c>
      <x:c r="B36" s="42" t="str">
        <x:v>Comidas totales</x:v>
      </x:c>
      <x:c r="C36" s="74" t="n">
        <x:v>190</x:v>
      </x:c>
      <x:c r="D36" s="74" t="n">
        <x:v>290</x:v>
      </x:c>
      <x:c r="E36" s="42" t="str">
        <x:v>Grupo</x:v>
      </x:c>
      <x:c r="F36" s="42" t="str">
        <x:v>Del PDF p.7.</x:v>
      </x:c>
    </x:row>
    <x:row r="37">
      <x:c r="A37" s="42" t="str">
        <x:v>Martes 15</x:v>
      </x:c>
      <x:c r="B37" s="42" t="str">
        <x:v>Total estimado original del día</x:v>
      </x:c>
      <x:c r="C37" s="74" t="n">
        <x:v>340</x:v>
      </x:c>
      <x:c r="D37" s="74" t="n">
        <x:v>455</x:v>
      </x:c>
      <x:c r="E37" s="42" t="str">
        <x:v>Grupo</x:v>
      </x:c>
      <x:c r="F37" s="42" t="str">
        <x:v>Antes de la revisión de actividades nuevas.</x:v>
      </x:c>
    </x:row>
    <x:row r="38">
      <x:c r="A38" s="42" t="str">
        <x:v>Miércoles 16</x:v>
      </x:c>
      <x:c r="B38" s="42" t="str">
        <x:v>Almuerzo rápido/dumplings</x:v>
      </x:c>
      <x:c r="C38" s="74" t="n">
        <x:v>60</x:v>
      </x:c>
      <x:c r="D38" s="74" t="n">
        <x:v>90</x:v>
      </x:c>
      <x:c r="E38" s="42" t="str">
        <x:v>Grupo</x:v>
      </x:c>
      <x:c r="F38" s="42" t="str">
        <x:v>Del PDF p.8.</x:v>
      </x:c>
    </x:row>
    <x:row r="39">
      <x:c r="A39" s="42" t="str">
        <x:v>Miércoles 16</x:v>
      </x:c>
      <x:c r="B39" s="42" t="str">
        <x:v>Almuerzo sentado</x:v>
      </x:c>
      <x:c r="C39" s="74" t="n">
        <x:v>100</x:v>
      </x:c>
      <x:c r="D39" s="74" t="n">
        <x:v>150</x:v>
      </x:c>
      <x:c r="E39" s="42" t="str">
        <x:v>Grupo</x:v>
      </x:c>
      <x:c r="F39" s="42" t="str">
        <x:v>Alternativa; del PDF p.8.</x:v>
      </x:c>
    </x:row>
    <x:row r="40">
      <x:c r="A40" s="42" t="str">
        <x:v>Jueves 17</x:v>
      </x:c>
      <x:c r="B40" s="42" t="str">
        <x:v>Almuerzo grupal</x:v>
      </x:c>
      <x:c r="C40" s="74" t="n">
        <x:v>80</x:v>
      </x:c>
      <x:c r="D40" s="74" t="n">
        <x:v>130</x:v>
      </x:c>
      <x:c r="E40" s="42" t="str">
        <x:v>Grupo</x:v>
      </x:c>
      <x:c r="F40" s="42" t="str">
        <x:v>Del PDF p.10.</x:v>
      </x:c>
    </x:row>
    <x:row r="41">
      <x:c r="A41" s="42" t="str">
        <x:v>Jueves 17</x:v>
      </x:c>
      <x:c r="B41" s="42" t="str">
        <x:v>SUMMIT - 4 adultos</x:v>
      </x:c>
      <x:c r="C41" s="74" t="n">
        <x:v>176</x:v>
      </x:c>
      <x:c r="D41" s="74" t="n">
        <x:v>176</x:v>
      </x:c>
      <x:c r="E41" s="42" t="str">
        <x:v>Grupo</x:v>
      </x:c>
      <x:c r="F41" s="42" t="str">
        <x:v>Costo mínimo original del PDF p.11.</x:v>
      </x:c>
    </x:row>
    <x:row r="42">
      <x:c r="A42" s="42" t="str">
        <x:v>Jueves 17</x:v>
      </x:c>
      <x:c r="B42" s="42" t="str">
        <x:v>SUMMIT - niña 8</x:v>
      </x:c>
      <x:c r="C42" s="74" t="n">
        <x:v>39</x:v>
      </x:c>
      <x:c r="D42" s="74" t="n">
        <x:v>39</x:v>
      </x:c>
      <x:c r="E42" s="42" t="str">
        <x:v>Grupo</x:v>
      </x:c>
      <x:c r="F42" s="42" t="str">
        <x:v>Costo mínimo original del PDF p.11.</x:v>
      </x:c>
    </x:row>
    <x:row r="43">
      <x:c r="A43" s="42" t="str">
        <x:v>Jueves 17</x:v>
      </x:c>
      <x:c r="B43" s="42" t="str">
        <x:v>SUMMIT - niña 1,5</x:v>
      </x:c>
      <x:c r="C43" s="74" t="n">
        <x:v>0</x:v>
      </x:c>
      <x:c r="D43" s="74" t="n">
        <x:v>0</x:v>
      </x:c>
      <x:c r="E43" s="42" t="str">
        <x:v>Grupo</x:v>
      </x:c>
      <x:c r="F43" s="42" t="str">
        <x:v>Gratis según guía original.</x:v>
      </x:c>
    </x:row>
    <x:row r="44">
      <x:c r="A44" s="42" t="str">
        <x:v>Jueves 17</x:v>
      </x:c>
      <x:c r="B44" s="42" t="str">
        <x:v>SUMMIT - cargo online</x:v>
      </x:c>
      <x:c r="C44" s="74" t="n">
        <x:v>3</x:v>
      </x:c>
      <x:c r="D44" s="74" t="n">
        <x:v>3</x:v>
      </x:c>
      <x:c r="E44" s="42" t="str">
        <x:v>Pedido</x:v>
      </x:c>
      <x:c r="F44" s="42" t="str">
        <x:v>Del PDF p.11.</x:v>
      </x:c>
    </x:row>
  </x:sheetData>
  <x:pageMargins left="0.7" right="0.7" top="0.75" bottom="0.75" header="0.3" footer="0.3"/>
  <x:tableParts count="1">
    <x:tablePart xmlns:r="http://schemas.openxmlformats.org/officeDocument/2006/relationships" r:id="R320e5f36f9194e0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38" hidden="0" customWidth="1"/>
    <x:col min="5" max="5" width="10" hidden="0" customWidth="1"/>
    <x:col min="6" max="6" width="24" hidden="0" customWidth="1"/>
    <x:col min="7" max="7" width="38" hidden="0" customWidth="1"/>
    <x:col min="8" max="8" width="48" hidden="0" customWidth="1"/>
  </x:cols>
  <x:sheetData>
    <x:row r="1">
      <x:c r="A1" s="31" t="str">
        <x:v>Prioridad</x:v>
      </x:c>
      <x:c r="B1" s="31" t="str">
        <x:v>Elemento</x:v>
      </x:c>
      <x:c r="C1" s="31" t="str">
        <x:v>Día / hora objetivo</x:v>
      </x:c>
      <x:c r="D1" s="31" t="str">
        <x:v>Acción</x:v>
      </x:c>
      <x:c r="E1" s="31" t="str">
        <x:v>¿Fijo?</x:v>
      </x:c>
      <x:c r="F1" s="31" t="str">
        <x:v>Costo / referencia</x:v>
      </x:c>
      <x:c r="G1" s="31" t="str">
        <x:v>Plan B / recorte</x:v>
      </x:c>
      <x:c r="H1" s="31" t="str">
        <x:v>Nota</x:v>
      </x:c>
    </x:row>
    <x:row r="2">
      <x:c r="A2" s="54" t="n">
        <x:v>1</x:v>
      </x:c>
      <x:c r="B2" s="54" t="str">
        <x:v>SUMMIT One Vanderbilt</x:v>
      </x:c>
      <x:c r="C2" s="54" t="str">
        <x:v>Jue 17 · 17:00–17:30</x:v>
      </x:c>
      <x:c r="D2" s="54" t="str">
        <x:v>Reservar entrada</x:v>
      </x:c>
      <x:c r="E2" s="54" t="str">
        <x:v>Sí</x:v>
      </x:c>
      <x:c r="F2" s="54" t="str">
        <x:v>USD 220–280 grupo</x:v>
      </x:c>
      <x:c r="G2" s="54" t="str">
        <x:v>No reemplazar por Edge salvo decisión previa</x:v>
      </x:c>
      <x:c r="H2" s="54" t="str">
        <x:v>Proteger 30 min antes; si la reserva queda 17:30, aumenta el margen previo.</x:v>
      </x:c>
    </x:row>
    <x:row r="3">
      <x:c r="A3" s="54" t="n">
        <x:v>2</x:v>
      </x:c>
      <x:c r="B3" s="54" t="str">
        <x:v>The Met</x:v>
      </x:c>
      <x:c r="C3" s="54" t="str">
        <x:v>Mar 15 · ~12:15</x:v>
      </x:c>
      <x:c r="D3" s="54" t="str">
        <x:v>Comprar online si conviene para ahorrar tiempo</x:v>
      </x:c>
      <x:c r="E3" s="54" t="str">
        <x:v>No</x:v>
      </x:c>
      <x:c r="F3" s="54" t="str">
        <x:v>USD 120 grupo</x:v>
      </x:c>
      <x:c r="G3" s="54" t="str">
        <x:v>Salir antes si las chicas se cansan</x:v>
      </x:c>
      <x:c r="H3" s="54" t="str">
        <x:v>Plan revisado 1h45; máximo 2h.</x:v>
      </x:c>
    </x:row>
    <x:row r="4">
      <x:c r="A4" s="54" t="n">
        <x:v>3</x:v>
      </x:c>
      <x:c r="B4" s="54" t="str">
        <x:v>Noche de pareja</x:v>
      </x:c>
      <x:c r="C4" s="54" t="str">
        <x:v>Mié 16 · ~22:30</x:v>
      </x:c>
      <x:c r="D4" s="54" t="str">
        <x:v>Revisar programación de Le Bain / Marquee</x:v>
      </x:c>
      <x:c r="E4" s="54" t="str">
        <x:v>No</x:v>
      </x:c>
      <x:c r="F4" s="54" t="str">
        <x:v>Le Bain USD 120–180</x:v>
      </x:c>
      <x:c r="G4" s="54" t="str">
        <x:v>Marquee o Porchlight</x:v>
      </x:c>
      <x:c r="H4" s="54" t="str">
        <x:v>Le Bain = principal; Marquee = club; Porchlight = bar.</x:v>
      </x:c>
    </x:row>
    <x:row r="5">
      <x:c r="A5" s="54" t="n">
        <x:v>4</x:v>
      </x:c>
      <x:c r="B5" s="54" t="str">
        <x:v>Roosevelt Island Tram</x:v>
      </x:c>
      <x:c r="C5" s="54" t="str">
        <x:v>Mar 15 · ~14:30</x:v>
      </x:c>
      <x:c r="D5" s="54" t="str">
        <x:v>Sin reserva en el plan; verificar operación esa semana</x:v>
      </x:c>
      <x:c r="E5" s="54" t="str">
        <x:v>No</x:v>
      </x:c>
      <x:c r="F5" s="54" t="str">
        <x:v>Pendiente verificar</x:v>
      </x:c>
      <x:c r="G5" s="54" t="str">
        <x:v>Omitir si hay espera grande o clima feo</x:v>
      </x:c>
      <x:c r="H5" s="54" t="str">
        <x:v>Nuevo agregado; compacto.</x:v>
      </x:c>
    </x:row>
    <x:row r="6">
      <x:c r="A6" s="54" t="n">
        <x:v>5</x:v>
      </x:c>
      <x:c r="B6" s="54" t="str">
        <x:v>Tudor City Bridge</x:v>
      </x:c>
      <x:c r="C6" s="54" t="str">
        <x:v>Jue 17 · sin hora base</x:v>
      </x:c>
      <x:c r="D6" s="54" t="str">
        <x:v>No reservar</x:v>
      </x:c>
      <x:c r="E6" s="54" t="str">
        <x:v>No</x:v>
      </x:c>
      <x:c r="F6" s="54" t="str">
        <x:v>Gratis</x:v>
      </x:c>
      <x:c r="G6" s="54" t="str">
        <x:v>Omitir</x:v>
      </x:c>
      <x:c r="H6" s="54" t="str">
        <x:v>Sólo si van &gt;40 min adelantados; reemplaza SNFL/buffer, nunca se apila.</x:v>
      </x:c>
    </x:row>
    <x:row r="7">
      <x:c r="A7" s="54" t="n">
        <x:v>6</x:v>
      </x:c>
      <x:c r="B7" s="54" t="str">
        <x:v>Domingo 13</x:v>
      </x:c>
      <x:c r="C7" s="54" t="str">
        <x:v>Todo el día</x:v>
      </x:c>
      <x:c r="D7" s="54" t="str">
        <x:v>No reservar nada</x:v>
      </x:c>
      <x:c r="E7" s="54" t="str">
        <x:v>No</x:v>
      </x:c>
      <x:c r="F7" s="54" t="str">
        <x:v>—</x:v>
      </x:c>
      <x:c r="G7" s="54" t="str">
        <x:v>—</x:v>
      </x:c>
      <x:c r="H7" s="54" t="str">
        <x:v>Debe permanecer completamente flexible.</x:v>
      </x:c>
    </x:row>
  </x:sheetData>
  <x:pageMargins left="0.7" right="0.7" top="0.75" bottom="0.75" header="0.3" footer="0.3"/>
  <x:tableParts count="1">
    <x:tablePart xmlns:r="http://schemas.openxmlformats.org/officeDocument/2006/relationships" r:id="Rcf9b138df2324b7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5" hidden="0" customWidth="1"/>
    <x:col min="3" max="3" width="48" hidden="0" customWidth="1"/>
    <x:col min="4" max="4" width="28" hidden="0" customWidth="1"/>
  </x:cols>
  <x:sheetData>
    <x:row r="1">
      <x:c r="A1" s="31" t="str">
        <x:v>Fuente / tema</x:v>
      </x:c>
      <x:c r="B1" s="31" t="str">
        <x:v>URL</x:v>
      </x:c>
      <x:c r="C1" s="31" t="str">
        <x:v>Uso en la guía</x:v>
      </x:c>
      <x:c r="D1" s="31" t="str">
        <x:v>Estado</x:v>
      </x:c>
    </x:row>
    <x:row r="2">
      <x:c r="A2" s="54" t="str">
        <x:v>MTA - JFK y AirTrain/LIRR</x:v>
      </x:c>
      <x:c r="B2" s="54" t="str">
        <x:v>https://www.mta.info/guides/airports/jfk/jfk-airport-to-manhattan</x:v>
      </x:c>
      <x:c r="C2" s="54" t="str">
        <x:v>Traslados JFK ↔ Manhattan</x:v>
      </x:c>
      <x:c r="D2" s="54" t="str">
        <x:v>Del PDF original</x:v>
      </x:c>
    </x:row>
    <x:row r="3">
      <x:c r="A3" s="54" t="str">
        <x:v>MTA - tarifas, OMNY y fare cap</x:v>
      </x:c>
      <x:c r="B3" s="54" t="str">
        <x:v>https://www.mta.info/fares-tolls/subway-bus/tap-and-ride</x:v>
      </x:c>
      <x:c r="C3" s="54" t="str">
        <x:v>Tarifas y fare cap</x:v>
      </x:c>
      <x:c r="D3" s="54" t="str">
        <x:v>Del PDF original</x:v>
      </x:c>
    </x:row>
    <x:row r="4">
      <x:c r="A4" s="54" t="str">
        <x:v>Little Island</x:v>
      </x:c>
      <x:c r="B4" s="54" t="str">
        <x:v>https://littleisland.org/</x:v>
      </x:c>
      <x:c r="C4" s="54" t="str">
        <x:v>Horario / visita</x:v>
      </x:c>
      <x:c r="D4" s="54" t="str">
        <x:v>Del PDF original</x:v>
      </x:c>
    </x:row>
    <x:row r="5">
      <x:c r="A5" s="54" t="str">
        <x:v>9/11 Memorial</x:v>
      </x:c>
      <x:c r="B5" s="54" t="str">
        <x:v>https://www.911memorial.org/visit</x:v>
      </x:c>
      <x:c r="C5" s="54" t="str">
        <x:v>Visita al memorial exterior</x:v>
      </x:c>
      <x:c r="D5" s="54" t="str">
        <x:v>Del PDF original</x:v>
      </x:c>
    </x:row>
    <x:row r="6">
      <x:c r="A6" s="54" t="str">
        <x:v>Staten Island Ferry</x:v>
      </x:c>
      <x:c r="B6" s="54" t="str">
        <x:v>https://www.nyc.gov/html/dot/html/ferrybus/siferryschedule.shtml</x:v>
      </x:c>
      <x:c r="C6" s="54" t="str">
        <x:v>Ferry gratuito</x:v>
      </x:c>
      <x:c r="D6" s="54" t="str">
        <x:v>Del PDF original</x:v>
      </x:c>
    </x:row>
    <x:row r="7">
      <x:c r="A7" s="54" t="str">
        <x:v>The Metropolitan Museum of Art</x:v>
      </x:c>
      <x:c r="B7" s="54" t="str">
        <x:v>https://www.metmuseum.org/plan-your-visit</x:v>
      </x:c>
      <x:c r="C7" s="54" t="str">
        <x:v>Visita al Met</x:v>
      </x:c>
      <x:c r="D7" s="54" t="str">
        <x:v>Del PDF original</x:v>
      </x:c>
    </x:row>
    <x:row r="8">
      <x:c r="A8" s="54" t="str">
        <x:v>The Met - familias</x:v>
      </x:c>
      <x:c r="B8" s="54" t="str">
        <x:v>https://www.metmuseum.org/visit-guides/families</x:v>
      </x:c>
      <x:c r="C8" s="54" t="str">
        <x:v>Información familiar</x:v>
      </x:c>
      <x:c r="D8" s="54" t="str">
        <x:v>Del PDF original</x:v>
      </x:c>
    </x:row>
    <x:row r="9">
      <x:c r="A9" s="54" t="str">
        <x:v>Le Bain - The Standard</x:v>
      </x:c>
      <x:c r="B9" s="54" t="str">
        <x:v>https://www.standardhotels.com/new-york/features/le-bain</x:v>
      </x:c>
      <x:c r="C9" s="54" t="str">
        <x:v>Salida de pareja</x:v>
      </x:c>
      <x:c r="D9" s="54" t="str">
        <x:v>Del PDF original</x:v>
      </x:c>
    </x:row>
    <x:row r="10">
      <x:c r="A10" s="54" t="str">
        <x:v>Marquee New York</x:v>
      </x:c>
      <x:c r="B10" s="54" t="str">
        <x:v>https://taogroup.com/venues/marquee-new-york/</x:v>
      </x:c>
      <x:c r="C10" s="54" t="str">
        <x:v>Salida de pareja alternativa</x:v>
      </x:c>
      <x:c r="D10" s="54" t="str">
        <x:v>Del PDF original</x:v>
      </x:c>
    </x:row>
    <x:row r="11">
      <x:c r="A11" s="54" t="str">
        <x:v>Porchlight</x:v>
      </x:c>
      <x:c r="B11" s="54" t="str">
        <x:v>https://www.porchlightbar.com/</x:v>
      </x:c>
      <x:c r="C11" s="54" t="str">
        <x:v>Bar alternativo</x:v>
      </x:c>
      <x:c r="D11" s="54" t="str">
        <x:v>Del PDF original</x:v>
      </x:c>
    </x:row>
    <x:row r="12">
      <x:c r="A12" s="54" t="str">
        <x:v>SUMMIT - visita</x:v>
      </x:c>
      <x:c r="B12" s="54" t="str">
        <x:v>https://summitov.com/visit/</x:v>
      </x:c>
      <x:c r="C12" s="54" t="str">
        <x:v>Información de visita</x:v>
      </x:c>
      <x:c r="D12" s="54" t="str">
        <x:v>Del PDF original</x:v>
      </x:c>
    </x:row>
    <x:row r="13">
      <x:c r="A13" s="54" t="str">
        <x:v>SUMMIT - entradas</x:v>
      </x:c>
      <x:c r="B13" s="54" t="str">
        <x:v>https://summitov.com/tickets/</x:v>
      </x:c>
      <x:c r="C13" s="54" t="str">
        <x:v>Entradas</x:v>
      </x:c>
      <x:c r="D13" s="54" t="str">
        <x:v>Del PDF original</x:v>
      </x:c>
    </x:row>
    <x:row r="14">
      <x:c r="A14" s="54" t="str">
        <x:v>SUMMIT - cochecitos</x:v>
      </x:c>
      <x:c r="B14" s="54" t="str">
        <x:v>https://info.summitov.com/faq/can-i-bring-a-stroller-to-summit-one-vanderbilt</x:v>
      </x:c>
      <x:c r="C14" s="54" t="str">
        <x:v>Política de cochecitos</x:v>
      </x:c>
      <x:c r="D14" s="54" t="str">
        <x:v>Del PDF original</x:v>
      </x:c>
    </x:row>
    <x:row r="15">
      <x:c r="A15" s="54" t="str">
        <x:v>Edge</x:v>
      </x:c>
      <x:c r="B15" s="54" t="str">
        <x:v>https://www.edgenyc.com/</x:v>
      </x:c>
      <x:c r="C15" s="54" t="str">
        <x:v>Alternativa al SUMMIT</x:v>
      </x:c>
      <x:c r="D15" s="54" t="str">
        <x:v>Del PDF original</x:v>
      </x:c>
    </x:row>
    <x:row r="16">
      <x:c r="A16" s="54" t="str">
        <x:v>Guía base</x:v>
      </x:c>
      <x:c r="B16" s="54" t="str"/>
      <x:c r="C16" s="54" t="str">
        <x:v>Itinerario familiar completo · Nueva York · 13–18 Sep 2026 · Chelsea</x:v>
      </x:c>
      <x:c r="D16" s="54" t="str">
        <x:v>PDF subido por Fer</x:v>
      </x:c>
    </x:row>
    <x:row r="17">
      <x:c r="A17" s="54" t="str">
        <x:v>Revisión Sep 10</x:v>
      </x:c>
      <x:c r="B17" s="54" t="str"/>
      <x:c r="C17" s="54" t="str">
        <x:v>Met reducido; descanso/buffer explícitos; nuevos puntos martes/jueves</x:v>
      </x:c>
      <x:c r="D17" s="54" t="str">
        <x:v>Plan de trabajo de esta conversación</x:v>
      </x:c>
    </x:row>
    <x:row r="18">
      <x:c r="A18" s="54" t="str">
        <x:v>Distancias del mapa</x:v>
      </x:c>
      <x:c r="B18" s="54" t="str"/>
      <x:c r="C18" s="54" t="str">
        <x:v>Las distancias de 03_Map_Segments son estimaciones redondas y deben recalcularse con routing al construir el mapa.</x:v>
      </x:c>
      <x:c r="D18" s="54" t="str">
        <x:v>Pendiente de verificación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22" hidden="0" customWidth="1"/>
    <x:col min="4" max="4" width="62" hidden="0" customWidth="1"/>
    <x:col min="6" max="6" width="18" hidden="0" customWidth="1"/>
    <x:col min="7" max="7" width="12" hidden="0" customWidth="1"/>
    <x:col min="8" max="8" width="22" hidden="0" customWidth="1"/>
  </x:cols>
  <x:sheetData>
    <x:row r="1">
      <x:c r="A1" s="44" t="str">
        <x:v>Parámetro</x:v>
      </x:c>
      <x:c r="B1" s="44" t="str">
        <x:v>Valor</x:v>
      </x:c>
      <x:c r="C1" s="44" t="str">
        <x:v>Unidad / uso</x:v>
      </x:c>
      <x:c r="D1" s="44" t="str">
        <x:v>Nota</x:v>
      </x:c>
      <x:c r="E1" s="54"/>
      <x:c r="F1" s="44" t="str">
        <x:v>Prioridades</x:v>
      </x:c>
      <x:c r="G1" s="44" t="str">
        <x:v>Sí/No</x:v>
      </x:c>
      <x:c r="H1" s="44" t="str">
        <x:v>Tipos</x:v>
      </x:c>
    </x:row>
    <x:row r="2">
      <x:c r="A2" s="54" t="str">
        <x:v>Ritmo caminata</x:v>
      </x:c>
      <x:c r="B2" s="54" t="n">
        <x:v>100</x:v>
      </x:c>
      <x:c r="C2" s="54" t="str">
        <x:v>m/min</x:v>
      </x:c>
      <x:c r="D2" s="54" t="str">
        <x:v>Regla de Fer: 100 m ≈ 1 min de caminata efectiva.</x:v>
      </x:c>
      <x:c r="E2" s="54"/>
      <x:c r="F2" s="54" t="str">
        <x:v>Esencial</x:v>
      </x:c>
      <x:c r="G2" s="54" t="str">
        <x:v>No</x:v>
      </x:c>
      <x:c r="H2" s="54" t="str">
        <x:v>Llegada</x:v>
      </x:c>
    </x:row>
    <x:row r="3">
      <x:c r="A3" s="54" t="str">
        <x:v>Met planificado</x:v>
      </x:c>
      <x:c r="B3" s="54" t="n">
        <x:v>105</x:v>
      </x:c>
      <x:c r="C3" s="54" t="str">
        <x:v>min</x:v>
      </x:c>
      <x:c r="D3" s="54" t="str">
        <x:v>Objetivo realista; techo 120 min.</x:v>
      </x:c>
      <x:c r="E3" s="54"/>
      <x:c r="F3" s="54" t="str">
        <x:v>Importante</x:v>
      </x:c>
      <x:c r="G3" s="54" t="str">
        <x:v>Sí</x:v>
      </x:c>
      <x:c r="H3" s="54" t="str">
        <x:v>Traslado</x:v>
      </x:c>
    </x:row>
    <x:row r="4">
      <x:c r="A4" s="54" t="str">
        <x:v>Met máximo</x:v>
      </x:c>
      <x:c r="B4" s="54" t="n">
        <x:v>120</x:v>
      </x:c>
      <x:c r="C4" s="54" t="str">
        <x:v>min</x:v>
      </x:c>
      <x:c r="D4" s="54" t="str">
        <x:v>No planificar 3 horas.</x:v>
      </x:c>
      <x:c r="E4" s="54"/>
      <x:c r="F4" s="54" t="str">
        <x:v>Opcional</x:v>
      </x:c>
      <x:c r="G4" s="54"/>
      <x:c r="H4" s="54" t="str">
        <x:v>Visita</x:v>
      </x:c>
    </x:row>
    <x:row r="5">
      <x:c r="A5" s="54" t="str">
        <x:v>Buffer mínimo antes de actividad fija</x:v>
      </x:c>
      <x:c r="B5" s="54" t="n">
        <x:v>30</x:v>
      </x:c>
      <x:c r="C5" s="54" t="str">
        <x:v>min</x:v>
      </x:c>
      <x:c r="D5" s="54" t="str">
        <x:v>Proteger antes de SUMMIT / aeropuerto.</x:v>
      </x:c>
      <x:c r="E5" s="54"/>
      <x:c r="F5" s="54" t="str">
        <x:v>Bonus</x:v>
      </x:c>
      <x:c r="G5" s="54"/>
      <x:c r="H5" s="54" t="str">
        <x:v>Paseo</x:v>
      </x:c>
    </x:row>
    <x:row r="6">
      <x:c r="A6" s="54" t="str">
        <x:v>Umbral para considerar sumar algo</x:v>
      </x:c>
      <x:c r="B6" s="54" t="n">
        <x:v>45</x:v>
      </x:c>
      <x:c r="C6" s="54" t="str">
        <x:v>min</x:v>
      </x:c>
      <x:c r="D6" s="54" t="str">
        <x:v>Sólo si quedan &gt;45 min limpios después de descanso y buffer.</x:v>
      </x:c>
      <x:c r="E6" s="54"/>
      <x:c r="F6" s="54"/>
      <x:c r="G6" s="54"/>
      <x:c r="H6" s="54" t="str">
        <x:v>Comida / descanso</x:v>
      </x:c>
    </x:row>
    <x:row r="7">
      <x:c r="A7" s="54" t="str">
        <x:v>Margen compras / imprevistos</x:v>
      </x:c>
      <x:c r="B7" s="54" t="n">
        <x:v>45</x:v>
      </x:c>
      <x:c r="C7" s="54" t="str">
        <x:v>min</x:v>
      </x:c>
      <x:c r="D7" s="54" t="str">
        <x:v>Bloque explícito cuando tenga sentido; no llenar automáticamente.</x:v>
      </x:c>
      <x:c r="E7" s="54"/>
      <x:c r="F7" s="54"/>
      <x:c r="G7" s="54"/>
      <x:c r="H7" s="54" t="str">
        <x:v>Descanso</x:v>
      </x:c>
    </x:row>
    <x:row r="8">
      <x:c r="A8" s="54"/>
      <x:c r="B8" s="54"/>
      <x:c r="C8" s="54"/>
      <x:c r="D8" s="54"/>
      <x:c r="E8" s="54"/>
      <x:c r="F8" s="54"/>
      <x:c r="G8" s="54"/>
      <x:c r="H8" s="54" t="str">
        <x:v>Tiempo libre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95" hidden="0" customWidth="1"/>
    <x:col min="4" max="4" width="36" hidden="0" customWidth="1"/>
    <x:col min="5" max="5" width="24" hidden="0" customWidth="1"/>
  </x:cols>
  <x:sheetData>
    <x:row r="1">
      <x:c r="A1" s="44" t="str">
        <x:v>Día / sección</x:v>
      </x:c>
      <x:c r="B1" s="44" t="str">
        <x:v>Tema</x:v>
      </x:c>
      <x:c r="C1" s="44" t="str">
        <x:v>Detalle preservado / revisado</x:v>
      </x:c>
      <x:c r="D1" s="44" t="str">
        <x:v>Map_ID / relación</x:v>
      </x:c>
      <x:c r="E1" s="44" t="str">
        <x:v>Fuente</x:v>
      </x:c>
    </x:row>
    <x:row r="2">
      <x:c r="A2" s="54" t="str">
        <x:v>Dom 13</x:v>
      </x:c>
      <x:c r="B2" s="54" t="str">
        <x:v>Plan normal</x:v>
      </x:c>
      <x:c r="C2" s="54" t="str">
        <x:v>Chelsea Market → High Line sur → Little Island → cena.</x:v>
      </x:c>
      <x:c r="D2" s="54" t="str"/>
      <x:c r="E2" s="54" t="str">
        <x:v>PDF p.4</x:v>
      </x:c>
    </x:row>
    <x:row r="3">
      <x:c r="A3" s="54" t="str">
        <x:v>Dom 13</x:v>
      </x:c>
      <x:c r="B3" s="54" t="str">
        <x:v>Plan reducido</x:v>
      </x:c>
      <x:c r="C3" s="54" t="str">
        <x:v>Si llegan al departamento después de 18:30: Chelsea Market → Little Island → cena; dejar High Line para el jueves.</x:v>
      </x:c>
      <x:c r="D3" s="54" t="str"/>
      <x:c r="E3" s="54" t="str">
        <x:v>PDF p.4</x:v>
      </x:c>
    </x:row>
    <x:row r="4">
      <x:c r="A4" s="54" t="str">
        <x:v>Dom 13</x:v>
      </x:c>
      <x:c r="B4" s="54" t="str">
        <x:v>Chelsea Market</x:v>
      </x:c>
      <x:c r="C4" s="54" t="str">
        <x:v>No hace falta hacer cena completa; puede ser merienda tardía/comida compartida; comprar agua y provisiones básicas.</x:v>
      </x:c>
      <x:c r="D4" s="54" t="str">
        <x:v>CHELSEA_MARKET</x:v>
      </x:c>
      <x:c r="E4" s="54" t="str">
        <x:v>PDF p.4</x:v>
      </x:c>
    </x:row>
    <x:row r="5">
      <x:c r="A5" s="54" t="str">
        <x:v>Lun 14</x:v>
      </x:c>
      <x:c r="B5" s="54" t="str">
        <x:v>9/11 Memorial</x:v>
      </x:c>
      <x:c r="C5" s="54" t="str">
        <x:v>El Memorial exterior es gratuito; la guía original consignaba apertura diaria 08:00–20:00.</x:v>
      </x:c>
      <x:c r="D5" s="54" t="str">
        <x:v>MEMORIAL_911</x:v>
      </x:c>
      <x:c r="E5" s="54" t="str">
        <x:v>PDF p.5</x:v>
      </x:c>
    </x:row>
    <x:row r="6">
      <x:c r="A6" s="54" t="str">
        <x:v>Lun 14</x:v>
      </x:c>
      <x:c r="B6" s="54" t="str">
        <x:v>Museo 9/11</x:v>
      </x:c>
      <x:c r="C6" s="54" t="str">
        <x:v>No incluir: consume tiempo, es emocionalmente intenso y puede ser pesado para la nena; le quita gran parte del día a Downtown.</x:v>
      </x:c>
      <x:c r="D6" s="54" t="str">
        <x:v>MEMORIAL_911</x:v>
      </x:c>
      <x:c r="E6" s="54" t="str">
        <x:v>PDF p.5</x:v>
      </x:c>
    </x:row>
    <x:row r="7">
      <x:c r="A7" s="54" t="str">
        <x:v>Lun 14</x:v>
      </x:c>
      <x:c r="B7" s="54" t="str">
        <x:v>Staten Island Ferry</x:v>
      </x:c>
      <x:c r="C7" s="54" t="str">
        <x:v>Gratuito, todos los días; cada tramo ~25 min; al llegar hay que bajar y volver a ingresar para regresar.</x:v>
      </x:c>
      <x:c r="D7" s="54" t="str">
        <x:v>WHITEHALL / ST_GEORGE</x:v>
      </x:c>
      <x:c r="E7" s="54" t="str">
        <x:v>PDF p.5</x:v>
      </x:c>
    </x:row>
    <x:row r="8">
      <x:c r="A8" s="54" t="str">
        <x:v>Lun 14</x:v>
      </x:c>
      <x:c r="B8" s="54" t="str">
        <x:v>Ferry — vistas</x:v>
      </x:c>
      <x:c r="C8" s="54" t="str">
        <x:v>Desde Manhattan, ubicarse del lado derecho para ver mejor la Estatua; al regresar, lado izquierdo.</x:v>
      </x:c>
      <x:c r="D8" s="54" t="str">
        <x:v>WHITEHALL / ST_GEORGE</x:v>
      </x:c>
      <x:c r="E8" s="54" t="str">
        <x:v>PDF p.5</x:v>
      </x:c>
    </x:row>
    <x:row r="9">
      <x:c r="A9" s="54" t="str">
        <x:v>Lun 14</x:v>
      </x:c>
      <x:c r="B9" s="54" t="str">
        <x:v>Ferry — vendedores</x:v>
      </x:c>
      <x:c r="C9" s="54" t="str">
        <x:v>No comprar entradas a vendedores que digan ofrecer acceso al ferry.</x:v>
      </x:c>
      <x:c r="D9" s="54" t="str">
        <x:v>WHITEHALL</x:v>
      </x:c>
      <x:c r="E9" s="54" t="str">
        <x:v>PDF p.5</x:v>
      </x:c>
    </x:row>
    <x:row r="10">
      <x:c r="A10" s="54" t="str">
        <x:v>Lun 14</x:v>
      </x:c>
      <x:c r="B10" s="54" t="str">
        <x:v>Recorrido completo</x:v>
      </x:c>
      <x:c r="C10" s="54" t="str">
        <x:v>Después del ferry, caminar a South Street Seaport y Pier 17.</x:v>
      </x:c>
      <x:c r="D10" s="54" t="str">
        <x:v>PIER17</x:v>
      </x:c>
      <x:c r="E10" s="54" t="str">
        <x:v>PDF p.5</x:v>
      </x:c>
    </x:row>
    <x:row r="11">
      <x:c r="A11" s="54" t="str">
        <x:v>Lun 14</x:v>
      </x:c>
      <x:c r="B11" s="54" t="str">
        <x:v>Recorrido reducido</x:v>
      </x:c>
      <x:c r="C11" s="54" t="str">
        <x:v>Quedarse por Battery Park, descansar y volver directamente a Chelsea. Seaport es lo más prescindible.</x:v>
      </x:c>
      <x:c r="D11" s="54" t="str">
        <x:v>BATTERY</x:v>
      </x:c>
      <x:c r="E11" s="54" t="str">
        <x:v>PDF p.5</x:v>
      </x:c>
    </x:row>
    <x:row r="12">
      <x:c r="A12" s="54" t="str">
        <x:v>Mar 15</x:v>
      </x:c>
      <x:c r="B12" s="54" t="str">
        <x:v>Central Park</x:v>
      </x:c>
      <x:c r="C12" s="54" t="str">
        <x:v>No intentar conocer todo Central Park: concentrar la parte clásica y terminar junto al Met.</x:v>
      </x:c>
      <x:c r="D12" s="54" t="str">
        <x:v>COLUMBUS → THE_MET</x:v>
      </x:c>
      <x:c r="E12" s="54" t="str">
        <x:v>PDF p.6</x:v>
      </x:c>
    </x:row>
    <x:row r="13">
      <x:c r="A13" s="54" t="str">
        <x:v>Mar 15</x:v>
      </x:c>
      <x:c r="B13" s="54" t="str">
        <x:v>Pausa pre-Met</x:v>
      </x:c>
      <x:c r="C13" s="54" t="str">
        <x:v>Reservar 20–30 min para comer algo, ir al baño y bajar el ritmo con las chicas.</x:v>
      </x:c>
      <x:c r="D13" s="54" t="str">
        <x:v>THE_MET</x:v>
      </x:c>
      <x:c r="E13" s="54" t="str">
        <x:v>PDF p.6</x:v>
      </x:c>
    </x:row>
    <x:row r="14">
      <x:c r="A14" s="54" t="str">
        <x:v>Mar 15</x:v>
      </x:c>
      <x:c r="B14" s="54" t="str">
        <x:v>Met — salas</x:v>
      </x:c>
      <x:c r="C14" s="54" t="str">
        <x:v>Selección original: Arte egipcio; Temple of Dendur; Arms &amp; Armor; European Paintings; American Wing sólo si hay energía.</x:v>
      </x:c>
      <x:c r="D14" s="54" t="str">
        <x:v>THE_MET</x:v>
      </x:c>
      <x:c r="E14" s="54" t="str">
        <x:v>PDF p.7</x:v>
      </x:c>
    </x:row>
    <x:row r="15">
      <x:c r="A15" s="54" t="str">
        <x:v>Mar 15</x:v>
      </x:c>
      <x:c r="B15" s="54" t="str">
        <x:v>Met — revisión</x:v>
      </x:c>
      <x:c r="C15" s="54" t="str">
        <x:v>Plan actual: Egipto + Temple of Dendur + Arms &amp; Armor como núcleo; cuarta zona sólo si todos están enganchados. 1h45 planificada, máximo 2h.</x:v>
      </x:c>
      <x:c r="D15" s="54" t="str">
        <x:v>THE_MET</x:v>
      </x:c>
      <x:c r="E15" s="54" t="str">
        <x:v>Revisión Sep 10</x:v>
      </x:c>
    </x:row>
    <x:row r="16">
      <x:c r="A16" s="54" t="str">
        <x:v>Mar 15</x:v>
      </x:c>
      <x:c r="B16" s="54" t="str">
        <x:v>81st Street Studio</x:v>
      </x:c>
      <x:c r="C16" s="54" t="str">
        <x:v>La guía indica que está pensado para chicos de 3 a 11 y puede servir para cambiar de estímulo a la nena mayor.</x:v>
      </x:c>
      <x:c r="D16" s="54" t="str">
        <x:v>THE_MET</x:v>
      </x:c>
      <x:c r="E16" s="54" t="str">
        <x:v>PDF p.7</x:v>
      </x:c>
    </x:row>
    <x:row r="17">
      <x:c r="A17" s="54" t="str">
        <x:v>Mar 15</x:v>
      </x:c>
      <x:c r="B17" s="54" t="str">
        <x:v>Por qué Met y no MoMA</x:v>
      </x:c>
      <x:c r="C17" s="54" t="str">
        <x:v>Para una primera visita familiar: más variedad (Egipto, armaduras, esculturas, salas históricas, edificio monumental). MoMA sólo si los adultos tienen interés fuerte por arte moderno.</x:v>
      </x:c>
      <x:c r="D17" s="54" t="str">
        <x:v>THE_MET</x:v>
      </x:c>
      <x:c r="E17" s="54" t="str">
        <x:v>PDF p.7</x:v>
      </x:c>
    </x:row>
    <x:row r="18">
      <x:c r="A18" s="54" t="str">
        <x:v>Mar 15</x:v>
      </x:c>
      <x:c r="B18" s="54" t="str">
        <x:v>Fifth / Rockefeller</x:v>
      </x:c>
      <x:c r="C18" s="54" t="str">
        <x:v>The Plaza; St. Patrick's; Rockefeller Center/Channel Gardens; Radio City. FAO Schwarz figuraba como parada opcional para la nena.</x:v>
      </x:c>
      <x:c r="D18" s="54" t="str">
        <x:v>THE_PLAZA → RADIO_CITY</x:v>
      </x:c>
      <x:c r="E18" s="54" t="str">
        <x:v>PDF p.7</x:v>
      </x:c>
    </x:row>
    <x:row r="19">
      <x:c r="A19" s="54" t="str">
        <x:v>Mar 15</x:v>
      </x:c>
      <x:c r="B19" s="54" t="str">
        <x:v>Bus después del Met</x:v>
      </x:c>
      <x:c r="C19" s="54" t="str">
        <x:v>Preferible al metro/andar para descansar, evitar escaleras y ver la ciudad desde superficie.</x:v>
      </x:c>
      <x:c r="D19" s="54" t="str">
        <x:v>THE_MET → THE_PLAZA</x:v>
      </x:c>
      <x:c r="E19" s="54" t="str">
        <x:v>PDF p.7 + revisión</x:v>
      </x:c>
    </x:row>
    <x:row r="20">
      <x:c r="A20" s="54" t="str">
        <x:v>Mar 15</x:v>
      </x:c>
      <x:c r="B20" s="54" t="str">
        <x:v>Times Square</x:v>
      </x:c>
      <x:c r="C20" s="54" t="str">
        <x:v>Llegar con pantallas encendidas; 45–60 min alcanzan; vale verla de noche pero no necesita una jornada exclusiva.</x:v>
      </x:c>
      <x:c r="D20" s="54" t="str">
        <x:v>TIMES_SQUARE</x:v>
      </x:c>
      <x:c r="E20" s="54" t="str">
        <x:v>PDF p.7</x:v>
      </x:c>
    </x:row>
    <x:row r="21">
      <x:c r="A21" s="54" t="str">
        <x:v>Mar 15</x:v>
      </x:c>
      <x:c r="B21" s="54" t="str">
        <x:v>Cena</x:v>
      </x:c>
      <x:c r="C21" s="54" t="str">
        <x:v>Comer antes de Times Square y evitar restaurantes situados directamente frente a las pantallas.</x:v>
      </x:c>
      <x:c r="D21" s="54" t="str">
        <x:v>TIMES_SQUARE</x:v>
      </x:c>
      <x:c r="E21" s="54" t="str">
        <x:v>PDF p.7</x:v>
      </x:c>
    </x:row>
    <x:row r="22">
      <x:c r="A22" s="54" t="str">
        <x:v>Mar 15</x:v>
      </x:c>
      <x:c r="B22" s="54" t="str">
        <x:v>Noche</x:v>
      </x:c>
      <x:c r="C22" s="54" t="str">
        <x:v>No programar salida de pareja: parque + museo + Midtown ya forman una jornada larga.</x:v>
      </x:c>
      <x:c r="D22" s="54" t="str"/>
      <x:c r="E22" s="54" t="str">
        <x:v>PDF p.7</x:v>
      </x:c>
    </x:row>
    <x:row r="23">
      <x:c r="A23" s="54" t="str">
        <x:v>Mar 15</x:v>
      </x:c>
      <x:c r="B23" s="54" t="str">
        <x:v>Nuevo — Roosevelt Tram</x:v>
      </x:c>
      <x:c r="C23" s="54" t="str">
        <x:v>Agregado para ocupar parte del tiempo liberado por el Met más corto sin sumar una atracción larga. Si hay mucha espera o clima feo, omitir.</x:v>
      </x:c>
      <x:c r="D23" s="54" t="str">
        <x:v>ROOSEVELT_TRAM_MH</x:v>
      </x:c>
      <x:c r="E23" s="54" t="str">
        <x:v>Revisión Sep 10</x:v>
      </x:c>
    </x:row>
    <x:row r="24">
      <x:c r="A24" s="54" t="str">
        <x:v>Mar 15</x:v>
      </x:c>
      <x:c r="B24" s="54" t="str">
        <x:v>Nuevo — Paley / FAO</x:v>
      </x:c>
      <x:c r="C24" s="54" t="str">
        <x:v>Paley = microparada/descanso breve; FAO = opcional. No deben convertir Midtown en una ametralladora de checks.</x:v>
      </x:c>
      <x:c r="D24" s="54" t="str">
        <x:v>PALEY_PARK / FAO</x:v>
      </x:c>
      <x:c r="E24" s="54" t="str">
        <x:v>Revisión Sep 10</x:v>
      </x:c>
    </x:row>
    <x:row r="25">
      <x:c r="A25" s="54" t="str">
        <x:v>Mié 16</x:v>
      </x:c>
      <x:c r="B25" s="54" t="str">
        <x:v>DUMBO</x:v>
      </x:c>
      <x:c r="C25" s="54" t="str">
        <x:v>Washington Street = vista clásica del Manhattan Bridge; Pebble Beach/Brooklyn Bridge Park = fotos y pausa; cruzar puente Brooklyn → Manhattan.</x:v>
      </x:c>
      <x:c r="D25" s="54" t="str">
        <x:v>DUMBO_WASHINGTON → BK_BRIDGE_MH</x:v>
      </x:c>
      <x:c r="E25" s="54" t="str">
        <x:v>PDF p.8</x:v>
      </x:c>
    </x:row>
    <x:row r="26">
      <x:c r="A26" s="54" t="str">
        <x:v>Mié 16</x:v>
      </x:c>
      <x:c r="B26" s="54" t="str">
        <x:v>Brooklyn Bridge</x:v>
      </x:c>
      <x:c r="C26" s="54" t="str">
        <x:v>Con cochecito, fotos y gente, la guía original sugería calcular ~1h aunque el cruce efectivo sea menor.</x:v>
      </x:c>
      <x:c r="D26" s="54" t="str">
        <x:v>BK_BRIDGE_BK → BK_BRIDGE_MH</x:v>
      </x:c>
      <x:c r="E26" s="54" t="str">
        <x:v>PDF p.8</x:v>
      </x:c>
    </x:row>
    <x:row r="27">
      <x:c r="A27" s="54" t="str">
        <x:v>Mié 16</x:v>
      </x:c>
      <x:c r="B27" s="54" t="str">
        <x:v>Almuerzo Chinatown</x:v>
      </x:c>
      <x:c r="C27" s="54" t="str">
        <x:v>Guía original: comida rápida/dumplings USD 60–90 grupo; restaurante sentado USD 100–150.</x:v>
      </x:c>
      <x:c r="D27" s="54" t="str">
        <x:v>CHINATOWN</x:v>
      </x:c>
      <x:c r="E27" s="54" t="str">
        <x:v>PDF p.8</x:v>
      </x:c>
    </x:row>
    <x:row r="28">
      <x:c r="A28" s="54" t="str">
        <x:v>Mié 16</x:v>
      </x:c>
      <x:c r="B28" s="54" t="str">
        <x:v>Ruta completa</x:v>
      </x:c>
      <x:c r="C28" s="54" t="str">
        <x:v>Chinatown → Little Italy → SoHo → Washington Square Park → Greenwich Village.</x:v>
      </x:c>
      <x:c r="D28" s="54" t="str">
        <x:v>CHINATOWN → GREENWICH_VILLAGE</x:v>
      </x:c>
      <x:c r="E28" s="54" t="str">
        <x:v>PDF p.8</x:v>
      </x:c>
    </x:row>
    <x:row r="29">
      <x:c r="A29" s="54" t="str">
        <x:v>Mié 16</x:v>
      </x:c>
      <x:c r="B29" s="54" t="str">
        <x:v>Punto de corte</x:v>
      </x:c>
      <x:c r="C29" s="54" t="str">
        <x:v>Si ~15:30 están cansados, terminar en SoHo y tomar metro desde Canal; no forzar Greenwich Village.</x:v>
      </x:c>
      <x:c r="D29" s="54" t="str">
        <x:v>SOHO</x:v>
      </x:c>
      <x:c r="E29" s="54" t="str">
        <x:v>PDF p.8</x:v>
      </x:c>
    </x:row>
    <x:row r="30">
      <x:c r="A30" s="54" t="str">
        <x:v>Mié 16</x:v>
      </x:c>
      <x:c r="B30" s="54" t="str">
        <x:v>Le Bain</x:v>
      </x:c>
      <x:c r="C30" s="54" t="str">
        <x:v>Opción principal: rooftop + vista + tragos + baile; caminar desde Chelsea/Meatpacking. Presupuesto original USD 120–180 para dos.</x:v>
      </x:c>
      <x:c r="D30" s="54" t="str">
        <x:v>LE_BAIN</x:v>
      </x:c>
      <x:c r="E30" s="54" t="str">
        <x:v>PDF p.9</x:v>
      </x:c>
    </x:row>
    <x:row r="31">
      <x:c r="A31" s="54" t="str">
        <x:v>Mié 16</x:v>
      </x:c>
      <x:c r="B31" s="54" t="str">
        <x:v>Marquee</x:v>
      </x:c>
      <x:c r="C31" s="54" t="str">
        <x:v>Alternativa de discoteca propiamente dicha; club grande, música más fuerte, producción/luces/pista. Presupuesto original USD 100–220 para dos.</x:v>
      </x:c>
      <x:c r="D31" s="54" t="str">
        <x:v>MARQUEE</x:v>
      </x:c>
      <x:c r="E31" s="54" t="str">
        <x:v>PDF p.9</x:v>
      </x:c>
    </x:row>
    <x:row r="32">
      <x:c r="A32" s="54" t="str">
        <x:v>Mié 16</x:v>
      </x:c>
      <x:c r="B32" s="54" t="str">
        <x:v>Porchlight</x:v>
      </x:c>
      <x:c r="C32" s="54" t="str">
        <x:v>Alternativa más relajada para tomar algo y conversar, no una noche de discoteca. Presupuesto original USD 80–110 para dos.</x:v>
      </x:c>
      <x:c r="D32" s="54" t="str">
        <x:v>PORCHLIGHT</x:v>
      </x:c>
      <x:c r="E32" s="54" t="str">
        <x:v>PDF p.9</x:v>
      </x:c>
    </x:row>
    <x:row r="33">
      <x:c r="A33" s="54" t="str">
        <x:v>Jue 17</x:v>
      </x:c>
      <x:c r="B33" s="54" t="str">
        <x:v>Opción incorporación tarde</x:v>
      </x:c>
      <x:c r="C33" s="54" t="str">
        <x:v>Si Fer/Jeni durmieron poco: el resto sale 08:45–09:00; ellos pueden encontrarse ~11:15–11:30 en Hudson Yards o ~11:45–12:00 en Bryant Park.</x:v>
      </x:c>
      <x:c r="D33" s="54" t="str">
        <x:v>VESSEL / BRYANT_PARK</x:v>
      </x:c>
      <x:c r="E33" s="54" t="str">
        <x:v>PDF p.10</x:v>
      </x:c>
    </x:row>
    <x:row r="34">
      <x:c r="A34" s="54" t="str">
        <x:v>Jue 17</x:v>
      </x:c>
      <x:c r="B34" s="54" t="str">
        <x:v>Horario fijo</x:v>
      </x:c>
      <x:c r="C34" s="54" t="str">
        <x:v>SUMMIT debe quedar 17:00 o 17:30; todo lo anterior se adapta alrededor de eso.</x:v>
      </x:c>
      <x:c r="D34" s="54" t="str">
        <x:v>SUMMIT</x:v>
      </x:c>
      <x:c r="E34" s="54" t="str">
        <x:v>PDF p.10</x:v>
      </x:c>
    </x:row>
    <x:row r="35">
      <x:c r="A35" s="54" t="str">
        <x:v>Jue 17</x:v>
      </x:c>
      <x:c r="B35" s="54" t="str">
        <x:v>Vessel</x:v>
      </x:c>
      <x:c r="C35" s="54" t="str">
        <x:v>No subir: ya hay un mirador elevado principal (SUMMIT). Ver desde afuera y conservar tiempo/presupuesto.</x:v>
      </x:c>
      <x:c r="D35" s="54" t="str">
        <x:v>VESSEL</x:v>
      </x:c>
      <x:c r="E35" s="54" t="str">
        <x:v>PDF p.10</x:v>
      </x:c>
    </x:row>
    <x:row r="36">
      <x:c r="A36" s="54" t="str">
        <x:v>Jue 17</x:v>
      </x:c>
      <x:c r="B36" s="54" t="str">
        <x:v>SUMMIT — por qué</x:v>
      </x:c>
      <x:c r="C36" s="54" t="str">
        <x:v>Tres niveles de vistas + espejos/instalaciones + interior + terraza; junto a Grand Central; puede entretener más a la nena; clima afecta menos; permite ver cambio de luz.</x:v>
      </x:c>
      <x:c r="D36" s="54" t="str">
        <x:v>SUMMIT</x:v>
      </x:c>
      <x:c r="E36" s="54" t="str">
        <x:v>PDF p.11</x:v>
      </x:c>
    </x:row>
    <x:row r="37">
      <x:c r="A37" s="54" t="str">
        <x:v>Jue 17</x:v>
      </x:c>
      <x:c r="B37" s="54" t="str">
        <x:v>SUMMIT — duración</x:v>
      </x:c>
      <x:c r="C37" s="54" t="str">
        <x:v>La guía estima ~90 min de experiencia; reservar 2h para seis personas, fotos y desplazamientos.</x:v>
      </x:c>
      <x:c r="D37" s="54" t="str">
        <x:v>SUMMIT</x:v>
      </x:c>
      <x:c r="E37" s="54" t="str">
        <x:v>PDF p.11</x:v>
      </x:c>
    </x:row>
    <x:row r="38">
      <x:c r="A38" s="54" t="str">
        <x:v>Jue 17</x:v>
      </x:c>
      <x:c r="B38" s="54" t="str">
        <x:v>SUMMIT — horario</x:v>
      </x:c>
      <x:c r="C38" s="54" t="str">
        <x:v>Ingreso recomendado 17:00–17:30 para ver cambio de luz sin terminar demasiado tarde con las chicas.</x:v>
      </x:c>
      <x:c r="D38" s="54" t="str">
        <x:v>SUMMIT</x:v>
      </x:c>
      <x:c r="E38" s="54" t="str">
        <x:v>PDF p.11</x:v>
      </x:c>
    </x:row>
    <x:row r="39">
      <x:c r="A39" s="54" t="str">
        <x:v>Jue 17</x:v>
      </x:c>
      <x:c r="B39" s="54" t="str">
        <x:v>SUMMIT — precio original</x:v>
      </x:c>
      <x:c r="C39" s="54" t="str">
        <x:v>Adulto base ~USD 44; menor ~USD 39; cargo online USD 3/pedido; menores de 5 gratis; precios dinámicos. Grupo mínimo original ~USD 218; prudente USD 220–280.</x:v>
      </x:c>
      <x:c r="D39" s="54" t="str">
        <x:v>SUMMIT</x:v>
      </x:c>
      <x:c r="E39" s="54" t="str">
        <x:v>PDF p.11</x:v>
      </x:c>
    </x:row>
    <x:row r="40">
      <x:c r="A40" s="54" t="str">
        <x:v>Jue 17</x:v>
      </x:c>
      <x:c r="B40" s="54" t="str">
        <x:v>SUMMIT — cochecito</x:v>
      </x:c>
      <x:c r="C40" s="54" t="str">
        <x:v>Debe ser plegable/colapsable; no se permiten carros o dispositivos similares.</x:v>
      </x:c>
      <x:c r="D40" s="54" t="str">
        <x:v>SUMMIT</x:v>
      </x:c>
      <x:c r="E40" s="54" t="str">
        <x:v>PDF p.11</x:v>
      </x:c>
    </x:row>
    <x:row r="41">
      <x:c r="A41" s="54" t="str">
        <x:v>Jue 17</x:v>
      </x:c>
      <x:c r="B41" s="54" t="str">
        <x:v>SUMMIT vs Edge</x:v>
      </x:c>
      <x:c r="C41" s="54" t="str">
        <x:v>Mantener SUMMIT como principal. Edge sólo alternativa si precio/sensación exterior/preferencia por evitar espejos lo justifican. No pagar ambos.</x:v>
      </x:c>
      <x:c r="D41" s="54" t="str">
        <x:v>SUMMIT / VESSEL</x:v>
      </x:c>
      <x:c r="E41" s="54" t="str">
        <x:v>PDF p.12</x:v>
      </x:c>
    </x:row>
    <x:row r="42">
      <x:c r="A42" s="54" t="str">
        <x:v>Jue 17</x:v>
      </x:c>
      <x:c r="B42" s="54" t="str">
        <x:v>Nuevo — eje Midtown</x:v>
      </x:c>
      <x:c r="C42" s="54" t="str">
        <x:v>Ruta revisada: Hudson Yards → Moynihan → Herald/Macy's → Empire exterior → Bryant Park. Reemplaza el salto en línea 7 por paseo.</x:v>
      </x:c>
      <x:c r="D42" s="54" t="str">
        <x:v>MOYNIHAN → BRYANT_PARK</x:v>
      </x:c>
      <x:c r="E42" s="54" t="str">
        <x:v>Revisión Sep 10</x:v>
      </x:c>
    </x:row>
    <x:row r="43">
      <x:c r="A43" s="54" t="str">
        <x:v>Jue 17</x:v>
      </x:c>
      <x:c r="B43" s="54" t="str">
        <x:v>Nuevo — SNFL</x:v>
      </x:c>
      <x:c r="C43" s="54" t="str">
        <x:v>Opcional breve. Cortar si hay atraso o cansancio.</x:v>
      </x:c>
      <x:c r="D43" s="54" t="str">
        <x:v>SNFL</x:v>
      </x:c>
      <x:c r="E43" s="54" t="str">
        <x:v>Revisión Sep 10</x:v>
      </x:c>
    </x:row>
    <x:row r="44">
      <x:c r="A44" s="54" t="str">
        <x:v>Jue 17</x:v>
      </x:c>
      <x:c r="B44" s="54" t="str">
        <x:v>Nuevo — Tudor City</x:v>
      </x:c>
      <x:c r="C44" s="54" t="str">
        <x:v>Bonus no programado. Sólo si van &gt;40 min adelantados; debe reemplazar otro opcional/margen, nunca sumarse encima.</x:v>
      </x:c>
      <x:c r="D44" s="54" t="str">
        <x:v>TUDOR_BRIDGE</x:v>
      </x:c>
      <x:c r="E44" s="54" t="str">
        <x:v>Revisión Sep 10</x:v>
      </x:c>
    </x:row>
    <x:row r="45">
      <x:c r="A45" s="54" t="str">
        <x:v>Vie 18</x:v>
      </x:c>
      <x:c r="B45" s="54" t="str">
        <x:v>Regla de salida</x:v>
      </x:c>
      <x:c r="C45" s="54" t="str">
        <x:v>Salir 08:15; 08:30 = límite prudente, no hora ideal.</x:v>
      </x:c>
      <x:c r="D45" s="54" t="str">
        <x:v>CHELSEA_BASE</x:v>
      </x:c>
      <x:c r="E45" s="54" t="str">
        <x:v>PDF p.13</x:v>
      </x:c>
    </x:row>
    <x:row r="46">
      <x:c r="A46" s="54" t="str">
        <x:v>Vie 18</x:v>
      </x:c>
      <x:c r="B46" s="54" t="str">
        <x:v>Confirmar noche anterior</x:v>
      </x:c>
      <x:c r="C46" s="54" t="str">
        <x:v>Terminal; estado del vuelo; horario LIRR; AirTrain; cambios del metro E.</x:v>
      </x:c>
      <x:c r="D46" s="54" t="str">
        <x:v>JFK</x:v>
      </x:c>
      <x:c r="E46" s="54" t="str">
        <x:v>PDF p.13</x:v>
      </x:c>
    </x:row>
    <x:row r="47">
      <x:c r="A47" s="54" t="str">
        <x:v>Presupuesto</x:v>
      </x:c>
      <x:c r="B47" s="54" t="str">
        <x:v>Transporte + atracciones</x:v>
      </x:c>
      <x:c r="C47" s="54" t="str">
        <x:v>Guía original: ~USD 635–737.</x:v>
      </x:c>
      <x:c r="D47" s="54" t="str"/>
      <x:c r="E47" s="54" t="str">
        <x:v>PDF p.14</x:v>
      </x:c>
    </x:row>
    <x:row r="48">
      <x:c r="A48" s="54" t="str">
        <x:v>Presupuesto</x:v>
      </x:c>
      <x:c r="B48" s="54" t="str">
        <x:v>Comidas</x:v>
      </x:c>
      <x:c r="C48" s="54" t="str">
        <x:v>Guía original: ~USD 810–1.260 estadía; en mesa, calcular ~30% adicional entre impuestos y propina.</x:v>
      </x:c>
      <x:c r="D48" s="54" t="str"/>
      <x:c r="E48" s="54" t="str">
        <x:v>PDF p.14</x:v>
      </x:c>
    </x:row>
    <x:row r="49">
      <x:c r="A49" s="54" t="str">
        <x:v>Presupuesto</x:v>
      </x:c>
      <x:c r="B49" s="54" t="str">
        <x:v>Total general</x:v>
      </x:c>
      <x:c r="C49" s="54" t="str">
        <x:v>Guía original: ~USD 1.550–2.150 para todo el grupo incluyendo transporte, Met, SUMMIT, comidas y una salida de pareja; sin alojamiento, vuelos ni compras.</x:v>
      </x:c>
      <x:c r="D49" s="54" t="str"/>
      <x:c r="E49" s="54" t="str">
        <x:v>PDF p.14</x:v>
      </x:c>
    </x:row>
    <x:row r="50">
      <x:c r="A50" s="54" t="str">
        <x:v>Uso práctico</x:v>
      </x:c>
      <x:c r="B50" s="54" t="str">
        <x:v>Si llueve</x:v>
      </x:c>
      <x:c r="C50" s="54" t="str">
        <x:v>Priorizar The Met, Grand Central, biblioteca y SUMMIT; reducir High Line, Little Island o Brooklyn Heights.</x:v>
      </x:c>
      <x:c r="D50" s="54" t="str"/>
      <x:c r="E50" s="54" t="str">
        <x:v>PDF p.15</x:v>
      </x:c>
    </x:row>
    <x:row r="51">
      <x:c r="A51" s="54" t="str">
        <x:v>Uso práctico</x:v>
      </x:c>
      <x:c r="B51" s="54" t="str">
        <x:v>Si hay cansancio</x:v>
      </x:c>
      <x:c r="C51" s="54" t="str">
        <x:v>Usar buses, cortar en SoHo y omitir Seaport. No hace falta completar cada punto para que el día funcione.</x:v>
      </x:c>
      <x:c r="D51" s="54" t="str"/>
      <x:c r="E51" s="54" t="str">
        <x:v>PDF p.15</x:v>
      </x:c>
    </x:row>
    <x:row r="52">
      <x:c r="A52" s="54" t="str">
        <x:v>Uso práctico</x:v>
      </x:c>
      <x:c r="B52" s="54" t="str">
        <x:v>Principio general</x:v>
      </x:c>
      <x:c r="C52" s="54" t="str">
        <x:v>El itinerario está organizado por zonas; extras pueden eliminarse sin romper la ruta.</x:v>
      </x:c>
      <x:c r="D52" s="54" t="str"/>
      <x:c r="E52" s="54" t="str">
        <x:v>PDF p.15</x:v>
      </x:c>
    </x:row>
    <x:row r="53">
      <x:c r="A53" s="54" t="str">
        <x:v>Fuentes</x:v>
      </x:c>
      <x:c r="B53" s="54" t="str">
        <x:v>Nota de verificación</x:v>
      </x:c>
      <x:c r="C53" s="54" t="str">
        <x:v>Horarios, tarifas y políticas pueden cambiar; la guía original pide revisar nuevamente en septiembre.</x:v>
      </x:c>
      <x:c r="D53" s="54" t="str"/>
      <x:c r="E53" s="54" t="str">
        <x:v>PDF p.16</x:v>
      </x:c>
    </x:row>
  </x:sheetData>
  <x:pageMargins left="0.7" right="0.7" top="0.75" bottom="0.75" header="0.3" footer="0.3"/>
  <x:tableParts count="1">
    <x:tablePart xmlns:r="http://schemas.openxmlformats.org/officeDocument/2006/relationships" r:id="R27ca4ffec5ff4e2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2" hidden="0" customWidth="1"/>
    <x:col min="7" max="7" width="14" hidden="0" customWidth="1"/>
    <x:col min="8" max="8" width="52" hidden="0" customWidth="1"/>
  </x:cols>
  <x:sheetData>
    <x:row r="1" ht="28" customHeight="1">
      <x:c r="A1" s="83" t="str">
        <x:v>AUDITORÍA DE MAPA · DISTANCIAS Y ROUTING</x:v>
      </x:c>
      <x:c r="B1" s="83"/>
      <x:c r="C1" s="83"/>
      <x:c r="D1" s="83"/>
      <x:c r="E1" s="83"/>
      <x:c r="F1" s="83"/>
      <x:c r="G1" s="83"/>
      <x:c r="H1" s="83"/>
    </x:row>
    <x:row r="2" ht="34" customHeight="1">
      <x:c r="A2" s="85" t="str">
        <x:v>Distancia base = segmentos no opcionales. Minutos = regla 100 m/min. Las rutas 'Verificado web' tienen evidencia externa; las manuales están listas para validar con el motor de rutas al construir el mapa.</x:v>
      </x:c>
      <x:c r="B2" s="85"/>
      <x:c r="C2" s="85"/>
      <x:c r="D2" s="85"/>
      <x:c r="E2" s="85"/>
      <x:c r="F2" s="85"/>
      <x:c r="G2" s="85"/>
      <x:c r="H2" s="85"/>
    </x:row>
    <x:row r="4">
      <x:c r="A4" s="80" t="str">
        <x:v>Día</x:v>
      </x:c>
      <x:c r="B4" s="80" t="str">
        <x:v>Km base auditados</x:v>
      </x:c>
      <x:c r="C4" s="80" t="str">
        <x:v>Min caminata base</x:v>
      </x:c>
      <x:c r="D4" s="80" t="str">
        <x:v>Km opcionales/spurs</x:v>
      </x:c>
      <x:c r="E4" s="80" t="str">
        <x:v>Rutas web verificadas</x:v>
      </x:c>
      <x:c r="F4" s="80" t="str">
        <x:v>Rutas auditadas manual</x:v>
      </x:c>
      <x:c r="G4" s="80" t="str">
        <x:v>Transporte</x:v>
      </x:c>
      <x:c r="H4" s="80" t="str">
        <x:v>Lectura rápida</x:v>
      </x:c>
    </x:row>
    <x:row r="5">
      <x:c r="A5" s="42" t="str">
        <x:v>Dom 13</x:v>
      </x:c>
      <x:c r="B5" s="86" t="n">
        <x:f>SUMIFS('03_Map_Segments'!$P$2:$P$83,'03_Map_Segments'!$A$2:$A$83,A5,'03_Map_Segments'!$I$2:$I$83,"No")/1000</x:f>
        <x:v>3.261</x:v>
      </x:c>
      <x:c r="C5" s="86" t="n">
        <x:f>B5*1000/'99_Parametros'!$B$2</x:f>
        <x:v>32.61</x:v>
      </x:c>
      <x:c r="D5" s="86" t="n">
        <x:f>SUMIFS('03_Map_Segments'!$P$2:$P$83,'03_Map_Segments'!$A$2:$A$83,A5,'03_Map_Segments'!$I$2:$I$83,"Sí")/1000</x:f>
        <x:v>0</x:v>
      </x:c>
      <x:c r="E5" s="42" t="n">
        <x:f>COUNTIFS('03_Map_Segments'!$A$2:$A$83,A5,'03_Map_Segments'!$U$2:$U$83,"Verificado web + auditado")</x:f>
        <x:v>1</x:v>
      </x:c>
      <x:c r="F5" s="42" t="n">
        <x:f>COUNTIFS('03_Map_Segments'!$A$2:$A$83,A5,'03_Map_Segments'!$U$2:$U$83,"Auditado por trazado urbano")</x:f>
        <x:v>4</x:v>
      </x:c>
      <x:c r="G5" s="42" t="n">
        <x:f>COUNTIFS('03_Map_Segments'!$A$2:$A$83,A5,'03_Map_Segments'!$U$2:$U$83,"Transporte · sin distancia a pie")</x:f>
        <x:v>3</x:v>
      </x:c>
      <x:c r="H5" s="42" t="str">
        <x:v>Día deliberadamente liviano por llegada. No llenar.</x:v>
      </x:c>
    </x:row>
    <x:row r="6">
      <x:c r="A6" s="42" t="str">
        <x:v>Lun 14</x:v>
      </x:c>
      <x:c r="B6" s="86" t="n">
        <x:f>SUMIFS('03_Map_Segments'!$P$2:$P$83,'03_Map_Segments'!$A$2:$A$83,A6,'03_Map_Segments'!$I$2:$I$83,"No")/1000</x:f>
        <x:v>3.313</x:v>
      </x:c>
      <x:c r="C6" s="86" t="n">
        <x:f>B6*1000/'99_Parametros'!$B$2</x:f>
        <x:v>33.13</x:v>
      </x:c>
      <x:c r="D6" s="86" t="n">
        <x:f>SUMIFS('03_Map_Segments'!$P$2:$P$83,'03_Map_Segments'!$A$2:$A$83,A6,'03_Map_Segments'!$I$2:$I$83,"Sí")/1000</x:f>
        <x:v>1.8</x:v>
      </x:c>
      <x:c r="E6" s="42" t="n">
        <x:f>COUNTIFS('03_Map_Segments'!$A$2:$A$83,A6,'03_Map_Segments'!$U$2:$U$83,"Verificado web + auditado")</x:f>
        <x:v>2</x:v>
      </x:c>
      <x:c r="F6" s="42" t="n">
        <x:f>COUNTIFS('03_Map_Segments'!$A$2:$A$83,A6,'03_Map_Segments'!$U$2:$U$83,"Auditado por trazado urbano")</x:f>
        <x:v>10</x:v>
      </x:c>
      <x:c r="G6" s="42" t="n">
        <x:f>COUNTIFS('03_Map_Segments'!$A$2:$A$83,A6,'03_Map_Segments'!$U$2:$U$83,"Transporte · sin distancia a pie")</x:f>
        <x:v>3</x:v>
      </x:c>
      <x:c r="H6" s="42" t="str">
        <x:v>Downtown resulta bastante más compacto que la estimación original; Seaport absorbe margen si hay ganas.</x:v>
      </x:c>
    </x:row>
    <x:row r="7">
      <x:c r="A7" s="42" t="str">
        <x:v>Mar 15</x:v>
      </x:c>
      <x:c r="B7" s="86" t="n">
        <x:f>SUMIFS('03_Map_Segments'!$P$2:$P$83,'03_Map_Segments'!$A$2:$A$83,A7,'03_Map_Segments'!$I$2:$I$83,"No")/1000</x:f>
        <x:v>8.613</x:v>
      </x:c>
      <x:c r="C7" s="86" t="n">
        <x:f>B7*1000/'99_Parametros'!$B$2</x:f>
        <x:v>86.13</x:v>
      </x:c>
      <x:c r="D7" s="86" t="n">
        <x:f>SUMIFS('03_Map_Segments'!$P$2:$P$83,'03_Map_Segments'!$A$2:$A$83,A7,'03_Map_Segments'!$I$2:$I$83,"Sí")/1000</x:f>
        <x:v>0.323</x:v>
      </x:c>
      <x:c r="E7" s="42" t="n">
        <x:f>COUNTIFS('03_Map_Segments'!$A$2:$A$83,A7,'03_Map_Segments'!$U$2:$U$83,"Verificado web + auditado")</x:f>
        <x:v>4</x:v>
      </x:c>
      <x:c r="F7" s="42" t="n">
        <x:f>COUNTIFS('03_Map_Segments'!$A$2:$A$83,A7,'03_Map_Segments'!$U$2:$U$83,"Auditado por trazado urbano")</x:f>
        <x:v>14</x:v>
      </x:c>
      <x:c r="G7" s="42" t="n">
        <x:f>COUNTIFS('03_Map_Segments'!$A$2:$A$83,A7,'03_Map_Segments'!$U$2:$U$83,"Transporte · sin distancia a pie")</x:f>
        <x:v>4</x:v>
      </x:c>
      <x:c r="H7" s="42" t="str">
        <x:v>Día fuerte por Central Park + Tram; Met limitado a 1h45–2h y buffers siguen protegidos.</x:v>
      </x:c>
    </x:row>
    <x:row r="8">
      <x:c r="A8" s="42" t="str">
        <x:v>Mié 16</x:v>
      </x:c>
      <x:c r="B8" s="86" t="n">
        <x:f>SUMIFS('03_Map_Segments'!$P$2:$P$83,'03_Map_Segments'!$A$2:$A$83,A8,'03_Map_Segments'!$I$2:$I$83,"No")/1000</x:f>
        <x:v>10.25</x:v>
      </x:c>
      <x:c r="C8" s="86" t="n">
        <x:f>B8*1000/'99_Parametros'!$B$2</x:f>
        <x:v>102.5</x:v>
      </x:c>
      <x:c r="D8" s="86" t="n">
        <x:f>SUMIFS('03_Map_Segments'!$P$2:$P$83,'03_Map_Segments'!$A$2:$A$83,A8,'03_Map_Segments'!$I$2:$I$83,"Sí")/1000</x:f>
        <x:v>0.9</x:v>
      </x:c>
      <x:c r="E8" s="42" t="n">
        <x:f>COUNTIFS('03_Map_Segments'!$A$2:$A$83,A8,'03_Map_Segments'!$U$2:$U$83,"Verificado web + auditado")</x:f>
        <x:v>3</x:v>
      </x:c>
      <x:c r="F8" s="42" t="n">
        <x:f>COUNTIFS('03_Map_Segments'!$A$2:$A$83,A8,'03_Map_Segments'!$U$2:$U$83,"Auditado por trazado urbano")</x:f>
        <x:v>13</x:v>
      </x:c>
      <x:c r="G8" s="42" t="n">
        <x:f>COUNTIFS('03_Map_Segments'!$A$2:$A$83,A8,'03_Map_Segments'!$U$2:$U$83,"Transporte · sin distancia a pie")</x:f>
        <x:v>0</x:v>
      </x:c>
      <x:c r="H8" s="42" t="str">
        <x:v>Mayor caminata real. No sumar: conservar ahorro para descanso y salida de pareja.</x:v>
      </x:c>
    </x:row>
    <x:row r="9">
      <x:c r="A9" s="42" t="str">
        <x:v>Jue 17</x:v>
      </x:c>
      <x:c r="B9" s="86" t="n">
        <x:f>SUMIFS('03_Map_Segments'!$P$2:$P$83,'03_Map_Segments'!$A$2:$A$83,A9,'03_Map_Segments'!$I$2:$I$83,"No")/1000</x:f>
        <x:v>6.637</x:v>
      </x:c>
      <x:c r="C9" s="86" t="n">
        <x:f>B9*1000/'99_Parametros'!$B$2</x:f>
        <x:v>66.37</x:v>
      </x:c>
      <x:c r="D9" s="86" t="n">
        <x:f>SUMIFS('03_Map_Segments'!$P$2:$P$83,'03_Map_Segments'!$A$2:$A$83,A9,'03_Map_Segments'!$I$2:$I$83,"Sí")/1000</x:f>
        <x:v>2.467</x:v>
      </x:c>
      <x:c r="E9" s="42" t="n">
        <x:f>COUNTIFS('03_Map_Segments'!$A$2:$A$83,A9,'03_Map_Segments'!$U$2:$U$83,"Verificado web + auditado")</x:f>
        <x:v>6</x:v>
      </x:c>
      <x:c r="F9" s="42" t="n">
        <x:f>COUNTIFS('03_Map_Segments'!$A$2:$A$83,A9,'03_Map_Segments'!$U$2:$U$83,"Auditado por trazado urbano")</x:f>
        <x:v>11</x:v>
      </x:c>
      <x:c r="G9" s="42" t="n">
        <x:f>COUNTIFS('03_Map_Segments'!$A$2:$A$83,A9,'03_Map_Segments'!$U$2:$U$83,"Transporte · sin distancia a pie")</x:f>
        <x:v>0</x:v>
      </x:c>
      <x:c r="H9" s="42" t="str">
        <x:v>Ruta ampliada y coherente oeste→este. Extras sólo si no comen el buffer de SUMMIT.</x:v>
      </x:c>
    </x:row>
    <x:row r="10">
      <x:c r="A10" s="42" t="str">
        <x:v>Vie 18</x:v>
      </x:c>
      <x:c r="B10" s="86" t="n">
        <x:f>SUMIFS('03_Map_Segments'!$P$2:$P$83,'03_Map_Segments'!$A$2:$A$83,A10,'03_Map_Segments'!$I$2:$I$83,"No")/1000</x:f>
        <x:v>0.35</x:v>
      </x:c>
      <x:c r="C10" s="86" t="n">
        <x:f>B10*1000/'99_Parametros'!$B$2</x:f>
        <x:v>3.5</x:v>
      </x:c>
      <x:c r="D10" s="86" t="n">
        <x:f>SUMIFS('03_Map_Segments'!$P$2:$P$83,'03_Map_Segments'!$A$2:$A$83,A10,'03_Map_Segments'!$I$2:$I$83,"Sí")/1000</x:f>
        <x:v>0</x:v>
      </x:c>
      <x:c r="E10" s="42" t="n">
        <x:f>COUNTIFS('03_Map_Segments'!$A$2:$A$83,A10,'03_Map_Segments'!$U$2:$U$83,"Verificado web + auditado")</x:f>
        <x:v>0</x:v>
      </x:c>
      <x:c r="F10" s="42" t="n">
        <x:f>COUNTIFS('03_Map_Segments'!$A$2:$A$83,A10,'03_Map_Segments'!$U$2:$U$83,"Auditado por trazado urbano")</x:f>
        <x:v>1</x:v>
      </x:c>
      <x:c r="G10" s="42" t="n">
        <x:f>COUNTIFS('03_Map_Segments'!$A$2:$A$83,A10,'03_Map_Segments'!$U$2:$U$83,"Transporte · sin distancia a pie")</x:f>
        <x:v>3</x:v>
      </x:c>
      <x:c r="H10" s="42" t="str">
        <x:v>Sólo traslado. Margen aeropuerto intencional.</x:v>
      </x:c>
    </x:row>
    <x:row r="12">
      <x:c r="A12" s="88" t="str">
        <x:v>CRITERIO DE CONFIANZA</x:v>
      </x:c>
      <x:c r="B12" s="88"/>
      <x:c r="C12" s="88"/>
      <x:c r="D12" s="88"/>
      <x:c r="E12" s="88"/>
      <x:c r="F12" s="88"/>
      <x:c r="G12" s="88"/>
      <x:c r="H12" s="88"/>
    </x:row>
    <x:row r="13">
      <x:c r="A13" s="91" t="str">
        <x:v>Alta / web</x:v>
      </x:c>
      <x:c r="B13" s="42" t="str">
        <x:v>Distancia contrastada con fuente pública (Google Maps/Rome2Rio/oficial) o microtramo inequívoco.</x:v>
      </x:c>
    </x:row>
    <x:row r="14">
      <x:c r="A14" s="91" t="str">
        <x:v>Media / trazado</x:v>
      </x:c>
      <x:c r="B14" s="42" t="str">
        <x:v>Distancia auditada con trama urbana, accesos y senderos conocidos; validar la geometría exacta al generar polyline.</x:v>
      </x:c>
    </x:row>
    <x:row r="15">
      <x:c r="A15" s="91" t="str">
        <x:v>Plan / transporte</x:v>
      </x:c>
      <x:c r="B15" s="42" t="str">
        <x:v>No suma como caminata; el link abre la ruta de transporte para revisión el día de viaje.</x:v>
      </x:c>
    </x:row>
    <x:row r="16">
      <x:c r="A16" s="91" t="str">
        <x:v>Pins de precisión media</x:v>
      </x:c>
      <x:c r="B16" s="42" t="str">
        <x:v>Parques, barrios o hitos con punto representativo; el query geocoder se conserva para resolver el pin final.</x:v>
      </x:c>
    </x:row>
  </x:sheetData>
  <x:mergeCells>
    <x:mergeCell ref="A1:H1"/>
    <x:mergeCell ref="A2:H2"/>
    <x:mergeCell ref="A12:H12"/>
  </x:mergeCells>
  <x:conditionalFormatting sqref="B5:B1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{B587905D-AE6C-A08C-461F-B4588F9CD42B}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587905D-AE6C-A08C-461F-B4588F9CD42B}">
            <x14:dataBar gradient="1">
              <x14:cfvo type="min"/>
              <x14:cfvo type="max"/>
              <x14:fillColor rgb="FFA02B93"/>
            </x14:dataBar>
          </x14:cfRule>
          <xm:sqref>B5:B10</xm:sqref>
        </x14:conditionalFormatting>
      </x14:conditionalFormattings>
    </x:ext>
  </x:extLst>
</x:worksheet>
</file>